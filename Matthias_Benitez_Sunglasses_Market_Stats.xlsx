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buffswtamu-my.sharepoint.com/personal/jmbenitez1_buffs_wtamu_edu/Documents/Data Analytics/"/>
    </mc:Choice>
  </mc:AlternateContent>
  <xr:revisionPtr revIDLastSave="7" documentId="8_{6F916A0E-8FBA-4EBF-864D-6479917A9240}" xr6:coauthVersionLast="47" xr6:coauthVersionMax="47" xr10:uidLastSave="{C92E77EB-0496-45B3-8968-CAC1C19EDE0F}"/>
  <bookViews>
    <workbookView xWindow="780" yWindow="225" windowWidth="35940" windowHeight="20445" activeTab="2" xr2:uid="{00000000-000D-0000-FFFF-FFFF00000000}"/>
  </bookViews>
  <sheets>
    <sheet name="Data_Clean" sheetId="1" r:id="rId1"/>
    <sheet name="Summary" sheetId="2" r:id="rId2"/>
    <sheet name="Regression" sheetId="3" r:id="rId3"/>
    <sheet name="Hypothesis" sheetId="4" r:id="rId4"/>
    <sheet name="Instructions" sheetId="5" r:id="rId5"/>
    <sheet name="Grading_Rubric" sheetId="6" r:id="rId6"/>
  </sheets>
  <definedNames>
    <definedName name="_xlchart.v1.0" hidden="1">Data_Clean!$E$2:$E$4</definedName>
    <definedName name="_xlchart.v1.1" hidden="1">Data_Clean!$E$5:$E$260</definedName>
    <definedName name="_xlchart.v1.2" hidden="1">Data_Clean!$E$2:$E$4</definedName>
    <definedName name="_xlchart.v1.3" hidden="1">Data_Clean!$E$5:$E$260</definedName>
    <definedName name="_xlchart.v1.4" hidden="1">Data_Clean!$F$2:$F$260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 r="B5" i="4"/>
  <c r="B4" i="4"/>
  <c r="B3" i="4"/>
  <c r="J2" i="4" a="1"/>
  <c r="J2" i="4" s="1"/>
  <c r="I2" i="4" a="1"/>
  <c r="I2" i="4" s="1"/>
  <c r="G3" i="4"/>
  <c r="G2"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B2" i="4"/>
  <c r="I2" i="2"/>
  <c r="G2" i="2"/>
  <c r="C4" i="2"/>
  <c r="D4" i="2"/>
  <c r="E4" i="2"/>
  <c r="B4" i="2"/>
  <c r="C7" i="2"/>
  <c r="D7" i="2"/>
  <c r="E7" i="2"/>
  <c r="B7" i="2"/>
  <c r="C6" i="2"/>
  <c r="D6" i="2"/>
  <c r="E6" i="2"/>
  <c r="B6" i="2"/>
  <c r="C5" i="2"/>
  <c r="D5" i="2"/>
  <c r="E5" i="2"/>
  <c r="B5" i="2"/>
  <c r="C3" i="2"/>
  <c r="D3" i="2"/>
  <c r="E3" i="2"/>
  <c r="B3" i="2"/>
  <c r="C2" i="2"/>
  <c r="D2" i="2"/>
  <c r="E2" i="2"/>
  <c r="B2" i="2"/>
  <c r="O13" i="3"/>
  <c r="R1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<sst xmlns="http://schemas.openxmlformats.org/spreadsheetml/2006/main" count="1033" uniqueCount="617">
  <si>
    <t>title</t>
  </si>
  <si>
    <t>brand</t>
  </si>
  <si>
    <t>description</t>
  </si>
  <si>
    <t>currency</t>
  </si>
  <si>
    <t>price</t>
  </si>
  <si>
    <t>rating</t>
  </si>
  <si>
    <t>reviews</t>
  </si>
  <si>
    <t>ln_reviews</t>
  </si>
  <si>
    <t>SOJOS Retro Polarized Aviator Sunglasses for Women Men Classic 70s Vintage Trendy Square Aviators</t>
  </si>
  <si>
    <t>SOJOS</t>
  </si>
  <si>
    <t>USD</t>
  </si>
  <si>
    <t>WearMe Pro - Reflective Lens Round Trendy Sunglasses</t>
  </si>
  <si>
    <t>WearMe Pro</t>
  </si>
  <si>
    <t>TURBOPEP Square Polarized Sunglasses for Men and Women Lightweight Frame Sun Glasses with UV Protection</t>
  </si>
  <si>
    <t>TURBOPEP</t>
  </si>
  <si>
    <t>Locs Gangster Oversized Rectangular Horn Rim Sunglasses All Black, mens</t>
  </si>
  <si>
    <t>Locs</t>
  </si>
  <si>
    <t>Macho men's authentic OG Locs gangster shades with unique color mirrored reflective lens thin plastic oversized hornrim horn rim sunglasses.</t>
  </si>
  <si>
    <t>ATTCL Polarized Wrap Sunglasses For Men - Fishing Sports Glasses UV Protection</t>
  </si>
  <si>
    <t>ATTCL</t>
  </si>
  <si>
    <t>SOJOS Classic Square Sunglasses for Women Men with Spring Hinge Sunnies SJ1137</t>
  </si>
  <si>
    <t>MERRY'S Rectangular Polarized Sports Sunglasses for Men Women Cycling Driving Fishing UV400 Protection S8225</t>
  </si>
  <si>
    <t>MERRY'S</t>
  </si>
  <si>
    <t>SUNGAIT Vintage Round Sunglasses for Women Men Classic Retro Designer Style</t>
  </si>
  <si>
    <t>SUNGAIT</t>
  </si>
  <si>
    <t>grinderPUNCH XL Men's Big Wide Frame Black Sunglasses - Extra Large Square 148mm</t>
  </si>
  <si>
    <t>grinderPUNCH</t>
  </si>
  <si>
    <t>Dark Black Tint Lens! Perfect for Days Spent outdoors playing sports! X-Large Wide Fit Sunglasses, Lens Width: 60mm, Height: 52mm, Overall Frame Width: 148mm. 100% UV400 Protection. Wide Frame Specially Designed to Fit Large Wide Face or Heads. Standard size sunglasses run 135-138mm wide. *Bonus* includes grinderPUNCH Microfiber Cleaning Pouch</t>
  </si>
  <si>
    <t>Buyisgle Eye Glasses Holder Strap - Sunglasses Straps Cords for Men Women Kids - Eyeglass Holders Around Neck - Eyewear String Lanyard Retainer - 2 PCS（Black</t>
  </si>
  <si>
    <t>Buyisgle</t>
  </si>
  <si>
    <t>Locs Sunglasses Hardcore Black 0103</t>
  </si>
  <si>
    <t>LINVO Polarized Sunglasses for Men Driving Sun glasses Shades 80's Retro Style Design Square</t>
  </si>
  <si>
    <t>LINVO</t>
  </si>
  <si>
    <t>CLASSIC, NEVER OUT OF DATE! WITH LINVO, ENJOY YOUR LIFE, ENJOY THE GOOD !</t>
  </si>
  <si>
    <t>YIMI Polarized Photochromic Driving z87 Sunglasses For Men Women Day and Night safety glasses</t>
  </si>
  <si>
    <t>YIMI</t>
  </si>
  <si>
    <t>Package Content:  1 X Photochromic Polarized Sunglasses  1 X Glasses Box  1 X Soft Glasses Cloth  1 X Polarized Test Card  Tips:  ►Please do not use sunglasses in high temperatures for long periods of time, which is not good for your health and glasses.  ►The sunglasses should be treated carefully to avoid damage and cleaned regularly.  ►Clean the lens using soap water or neutral detergent, gently wipe dry with the soft glasses cloth included.  ►When you don't need to use them, put the glasses and accessories back in the spectacle case.</t>
  </si>
  <si>
    <t>STORYCOAST Oversized Square Sunglasses for Women Men Fashion Siamese Lens Style Flat Top Shield Shades</t>
  </si>
  <si>
    <t>STORYCOAST</t>
  </si>
  <si>
    <t>MEETSUN Polarized Sunglasses for Women Men Classic Retro Designer Style</t>
  </si>
  <si>
    <t>MEETSUN</t>
  </si>
  <si>
    <t>STORYCOAST Polarized Sports Sunglasses for Men Women,Driving Fishing Cycling Mountain Bike Sunglasses UV400 Protection</t>
  </si>
  <si>
    <t>Dollger Square Oversized Sunglasses for Women Men Fashion Flat Top Big Black Frame Shades</t>
  </si>
  <si>
    <t>Dollger</t>
  </si>
  <si>
    <t>KALIYADI Polarized Sunglasses for Men and Women Matte Finish Sun glasses Color Mirror Lens UV Blocking (3 Pack)</t>
  </si>
  <si>
    <t>KALIYADI</t>
  </si>
  <si>
    <t>SOJOS Trendy Oversized Sunglasses for Women and Men</t>
  </si>
  <si>
    <t>SOJOS Sunglasses Womens Trendy 2023</t>
  </si>
  <si>
    <t>KALIYADI Polarized Sunglasses for Men, Lightweight Sun Glasses with UV Protection for Driving Fishing Golf</t>
  </si>
  <si>
    <t>ZENOTTIC Polarized Sunglasses for Men Lightweight TR90 Frame UV400 Protection Square Sun Glasses</t>
  </si>
  <si>
    <t>ZENOTTIC</t>
  </si>
  <si>
    <t>SOJOS Trendy Oversized Square Metal Frame Sunglasses for Women Men Flat Mirrored Lens UV Protection Sunglasses SJ1146</t>
  </si>
  <si>
    <t>AIEYEZO Oversized Square Sunglasses for Women Men Fashion Big Frame Shades Outdoor Sports Driving Sunnies UV400 Protection</t>
  </si>
  <si>
    <t>AIEYEZO</t>
  </si>
  <si>
    <t>All AIEYEZO lenses, the result of years of innovation and research, blocks more than 99% of the reflected lights.   AIEYEZO vintage square sunglasses are the perfect accessory to complete look and color your world.  Complement your look with perfect glare free vision, will set your look apart from the crowd.    All delivered with stylish premium package:  1*Sunglasses  1*Cleaning soft cloth  1*Cleaning soft fabric pouch  1*Mini screwdriver   We provide best product and customer service:  Buy AIEYEZO sunglasses, you could not only receive a quality product but also enjoy our exceptional customer service. We guarantee every transaction is  100% Secure , 100% Satisfaction.  Don't Hesitate. ADD TO CART RIGHT NOW!</t>
  </si>
  <si>
    <t>SOJOS Retro Aviator Sunglasses for Women Men,Trendy Rectangle Womens Mens Shades Sun Glasses SJ2202</t>
  </si>
  <si>
    <t>suoso Polarized Sports Sunglasses for Men: UV400 Protection Glasses Womens Wrap Around Goggles for Driving Fishing</t>
  </si>
  <si>
    <t>suoso</t>
  </si>
  <si>
    <t>DUCO Mens Sports Polarized Sunglasses UV Protection Sunglasses for Men 8177s</t>
  </si>
  <si>
    <t>DUCO</t>
  </si>
  <si>
    <t>SOJOS Oversized Round Sunglasses for Women and Men</t>
  </si>
  <si>
    <t>SOJOS Small Round Polarized Sunglasses for Women Men Classic Vintage Retro Shades UV400</t>
  </si>
  <si>
    <t>SOJOS Classic Square Polarized Sunglasses for Women Men Retro Trendy UV400 Sunnies SJ2050</t>
  </si>
  <si>
    <t>Joopin Square Sunglasses Polarized UV Protection Trendy Designer Sun Glasses Men Women</t>
  </si>
  <si>
    <t>Joopin</t>
  </si>
  <si>
    <t>mxnx Aviator Sunglasses for Men Polarized Women UV Protection Lightweight Driving Fishing Sports Mens Sunglasses MX208</t>
  </si>
  <si>
    <t>mxnx</t>
  </si>
  <si>
    <t>SOJOS Trendy Round Sunglasses for Women and Men</t>
  </si>
  <si>
    <t>SOJOS Classic Aviator Polarized Sunglasses for Men Women Vintage Retro Style</t>
  </si>
  <si>
    <t>KALIYADI Classic Aviator Sunglasses for Men Women Driving Sun glasses Polarized Lens UV Blocking</t>
  </si>
  <si>
    <t>KALIYADI Polarized Sunglasses for Men and Women Semi-Rimless Frame Driving Sun glasses UV Blocking</t>
  </si>
  <si>
    <t>SUNGAIT Ultra Lightweight Rectangular Polarized Sunglasses UV400 Protection</t>
  </si>
  <si>
    <t>VANLINKER Polarized Retro Oval Sunglasses for Women and Men Small 90s Style VL9580</t>
  </si>
  <si>
    <t>VANLINKER</t>
  </si>
  <si>
    <t>SOJOS Polarized Sunglasses for Women and Men</t>
  </si>
  <si>
    <t>YDAOWKN Classic Vintage Aviator Sunglasses for Women Men Large Frame Retro 70s Sunglasses UV400</t>
  </si>
  <si>
    <t>YDAOWKN</t>
  </si>
  <si>
    <t>FEIDUSUN Sunglasses Men Polarized Sunglasses for Mens and Womens,Black Retro Sun Glasses Driving Fishing UV Protection</t>
  </si>
  <si>
    <t>FEIDUSUN</t>
  </si>
  <si>
    <t>KleenGuard™ V30 Nemesis™ Safety Glasses (25688), with Mirror Coating, Smoke Lenses, Black Frame, Unisex Sunglasses for Men and Women (Qty 12)</t>
  </si>
  <si>
    <t>JACKSON SAFETY</t>
  </si>
  <si>
    <t>KleenGuard™ Personal Protective Equipment (PPE) enables rather than inhibits –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polycarbonate lenses that provide 99.9% UVA/ UVB/UVC protection to help prevent eye damage like cataracts, retinal damage, and other conditions that can cause temporary vision loss., The wraparound frame has a base curve of 8 that extends the range of peripheral protection, as well as soft touch temples for comfort. The Nemesis safety glasses have a patented nose piece designed to be extremely flexible, to channel sweat away from the eyes, and to help prevent slippage down the nose – all for long-term comfort. Each pair of KleenGuard™ Nemesis safety glasses come with a neck cord for securing them, so that the glasses are ready to protect at a moment's notice. The safety eyewear is manufactured to comply with the ANSI / ISEA Z87.1+ standard for personal eye protection. Both men and women will find these stylish glasses to be comfortable and functional for construction, manufacturing, gun shooting /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</si>
  <si>
    <t>STORYCOAST Polarized Sports Sunglasses for Men Women Unbreakable Frame Cycling Fishing Driving</t>
  </si>
  <si>
    <t>SOJOS Retro Oversized Square Polarized Sunglasses for Women and Men Vintage Shades UV400 Classic Large Metal Sun Glasses</t>
  </si>
  <si>
    <t>KWHZXGYY Sunglasses Men Polarized Sunglasses for Mens and Womens,Black Retro Sun Glasses Driving Fishing UV400 Protection</t>
  </si>
  <si>
    <t>KWHZXGYY</t>
  </si>
  <si>
    <t>Dollger Oversized Square Sunglasses for Women Big Large Wide Fashion Shades for Men 100% UV Protection Unisex</t>
  </si>
  <si>
    <t>SOJOS Oversized Square Cateye Polarized Sunglasses for Women Men Big Trendy Sunnies</t>
  </si>
  <si>
    <t>DEMIKOS Sunglasses Men Polarized Sunglasses for Womens Trendy Retro Mirror Lens for Driving Fishing UV400 Protection</t>
  </si>
  <si>
    <t>DEMIKOS</t>
  </si>
  <si>
    <t>FAGUMA Polarized Sports Sunglasses For Men Cycling Driving Fishing 100% UV Protection</t>
  </si>
  <si>
    <t>FAGUMA</t>
  </si>
  <si>
    <t>KUGUAOK Polarized Sports Sunglasses for Men Driving Cycling Fishing Sun Glasses 100% UV Protection Goggles</t>
  </si>
  <si>
    <t>KUGUAOK</t>
  </si>
  <si>
    <t>FEISEDY Oversized Sunglasses Mens Womens Flat Top Square Trendy Visor Shades UV400 B2470</t>
  </si>
  <si>
    <t>FEISEDY</t>
  </si>
  <si>
    <t>Aqulius Bulk Tinted Safety Glasses (Protective Shaded Safety Sunglasses For Men &amp; Women) UV Resistant, ANSI Z28.1</t>
  </si>
  <si>
    <t>Aqulius</t>
  </si>
  <si>
    <t>Enhance your vision safety with our top-tier safety glasses. Crafted for superior eye protection, these glasses shield against impact, scratches, and harmful UV rays. Perfect for construction work, outdoor activities, and general eye safety, our safety glasses feature robust polycarbonate lenses equipped with an advanced anti-fog coating. They provide 99.9% UV protection, ensuring your eyes are safe under most conditions. Our safety glasses sunglasses are not just functional but also fashionable, with stylish tinted and dark lens options that cater to every preference. The lightweight frame offers comfort without compromising on safety, making them suitable for extended wear. These safty glasses are designed as lentes para trabajo de hombre, ensuring durability and reliability in demanding work environments. Available in bulk safety glasses packs, they are an ideal choice for teams and individuals alike. Whether you choose the dark safety glasses for men, the shaded safety glasses for men, or the classic safety glasses black, you’re guaranteed a product that merges safety with style. Each pair in the safety glasses pack is scratch-resistant, ensuring long-lasting clarity and protection. Aqulius safety glasses, known for their high standards in safety glasses construction. Don't compromise on eye safety; choose our safety glasses tinted for maximum protection and style. Order now and experience the ultimate in eye safety and comfort!</t>
  </si>
  <si>
    <t>INFI Fishing Polarized Sunglasses for Men Driving Running Golf Sports Glasses Square UV Protection Designer Style Unisex</t>
  </si>
  <si>
    <t>INFI</t>
  </si>
  <si>
    <t>HD Fishing Sunglasses for Men/Women ***Recommended use: Fishing, driving, hiking, running and leisure. How Polarized lens technology work? Light from the sun will either be absorbed or reflected horizontally, diagonally or vertically. Sunlight that is reflected off horizontal surfaces such as roads or water cause us the most problems with our vision. This reflected sunlight is called blinding glare. It can cause common problems such as discomfort, squinting, eye fatigue, headaches and sight disability. Polarized lenses contain a built-in, laminated filter that only permits vertical light to pass through, glare off of horizontal light. Feature the industry’s most advanced technology and world class premium polarized film, our polarized lens creates an amazing difference ***UV grade----100% of UV400 protection ***High polarized----more than 99.5% polarizing effect ***Raw materials----imported TAC from Germany(cellulose triacetate) ***High weathering-resistance ----Quality perfoms stably at high temperatures,at low temperatures,and in humid environments ***High wear-resistance----Uses unique reinforcement materials and processing flow to enhance scratch-resistance effect ***High definition----adopts high-tech TAC film,which is high definition and the same grade as TFT-LCD. Fuzzy index of lenses is maintained within 0.6﹪ What You Get? ***Sunglasses * 1 ***Glasses Case * 1 ***Sunglasses Strap * 1 ***Soft Glasses Cloth * 1  ***Soft Microfiber Pouch * 1 ***Exquisite Packaging Carton * 1</t>
  </si>
  <si>
    <t>livho Sunglasses for Men Women Aviator Polarized Metal Mirror UV 400 Lens Protection</t>
  </si>
  <si>
    <t>livho</t>
  </si>
  <si>
    <t>AEVOGUE Polarized Sunglasses For Men Rectangle Metal Frame Retro Sun Glasses AE0395</t>
  </si>
  <si>
    <t>AEVOGUE</t>
  </si>
  <si>
    <t>ABOUT AEVOGUE SUNGLASSES Different eyewear should bring you different emotions, and match your personality and lifestyle‘The best’ doesn’t always mean the most expensive - everyone has their own preference! Beauty follows you hereGreat fashion design AEVOGUE sunglasses for ski, golf, cycling, running, fishing, driving, bike, cricket, motorcycle and all outdoor sports activitiesUV protection DISCOVER THE AEVOGUE SUNGLASSES DIFFERENCEBest Customer Service CareMeet our friendly customer service team focused on providing the best shopping experience and making every customer happy. Quality ControlWe care about how you feel about our product. Every piece of eyewear is given extra attention for quality and packaged with care before it leaves our warehouse. Price ConsciousWe are a family owned company who believes you can wear any style at a fraction of the price without compromising quality. FEATURES AND BENEFITS Reduce surface reflectionsDurable and lightweight frameEasy to cleanScratch resistant lensUV protection lensFlattering lines and aesthetically pleasing appearanceFashion and stylish design cool sunglasses for mens and womensCARETo avoid damage, never clean your sunglasses with paper towels or clothing, and also avoid using household detergents or soaps. While a few mild soaps don't harm lenses, today's extra strength soaps are powerful enough to slowly disintegrate lens coatings.</t>
  </si>
  <si>
    <t>Micheal Kors MK2024 Sunglasses</t>
  </si>
  <si>
    <t>Michael Kors</t>
  </si>
  <si>
    <t>TOREGE Polarized Sports Sunglasses for Men and Women Cycling Running Golf Fishing Sunglasses TR26</t>
  </si>
  <si>
    <t>TOREGE</t>
  </si>
  <si>
    <t>Ray-Ban RB4184 Square Sunglasses, Black/Green, 54 mm</t>
  </si>
  <si>
    <t>Ray-Ban</t>
  </si>
  <si>
    <t>Couple Butt Sets Plug Toy Anales Sex Games Toys Plug Expander Relaxing Tool for Men Women Sunglasses B-GL079</t>
  </si>
  <si>
    <t>Generic</t>
  </si>
  <si>
    <t>Couple Butt Sets Plug Toy Anales Sex Games Toys Plug Expander Relaxing Tools for Men Couples Women Sunglasses</t>
  </si>
  <si>
    <t>TOODOO 4 Pairs Men Polarized Sunglasses with UV Protection Driving Glasses Sports for Sport Outdoor Activities</t>
  </si>
  <si>
    <t>TOODOO</t>
  </si>
  <si>
    <t>DUCO Men's Luxury Carbon Fiber Temple Polarized Sunglasses for Men Sports UV400 DC8206</t>
  </si>
  <si>
    <t>GloFX Ultimate Diffraction Glasses - 3D Prism Rainbow Effect - Great Edm, Concert, and Rave Accessory</t>
  </si>
  <si>
    <t>GloFX</t>
  </si>
  <si>
    <t>ADE WU Rectangle Sunglasses for Women Men Retro 90s Sunglasses Trendy Black Tortoise Shell Glasses Y2K</t>
  </si>
  <si>
    <t>ADE WU</t>
  </si>
  <si>
    <t>CARFIA Polarized Men's Sunglasses UV400 Protection for Driving Fishing Hiking Golf Outdoor Sport Glasses</t>
  </si>
  <si>
    <t>CARFIA</t>
  </si>
  <si>
    <t>Outray Night Vision Polarized Aviator Sunglasses for Driving</t>
  </si>
  <si>
    <t>Outray</t>
  </si>
  <si>
    <t>GOBIGER Aviator Sunglasses for Men 100% UV Protection Goggle Alloy Frame with Case</t>
  </si>
  <si>
    <t>GOBIGER</t>
  </si>
  <si>
    <t>About Gobiger:  Gobiger loves the sunshine, fashion, and of course cool.  We design each of our sunglasses with comfort, high quality, and spirituality in mind to fit your lifestyle.  Our name was inspired by a word of Chinese ‘gou bi ger’. It means cool , graceful, individualized, handsome etc.  Details:  Frame:  -full frame -stainless steel: durable, cost-effective, environmental protection -square -comfortable metal nosepad Lens:  -Lens material:PC -REVO lens. Revo lenses are scratch and impact resistant and fooer perfect clarity of vision -UV400 PROTECTION: harmful UV rays are blocked, only useful visible rays enter your eyes Dimentions:  -Frame total: 147mm=5.9inch -Lens height: 55mm=2.2inch -Lens width: 59mm=2.3inch -Bridge: 24mm=0.9inch -Temple length: 124mm=4.9inch Features and benefits:  -Reduce surface reflections -Durable and lightweight frame -Scratch resistant lens -UV protection lens -Easy to clean -Fashion and stylish design cool sunglasses for mens and womens Care:  To avoid damage, never clean your sunglasses with clothing, and also avoid using household detergents. To cleaning your sunglasses, use water and soap avoiding all types of solvents or alcohol. Use only original accessories and apare parts Package includes:  1*Glasses 1*Glasses case  1*Glasses cloth</t>
  </si>
  <si>
    <t>Oakley Men's OO9096 Fuel Cell Wrap Sunglasses</t>
  </si>
  <si>
    <t>Oakley</t>
  </si>
  <si>
    <t>We’ve been toying with a mix of art and technology for some time. The idea was to create clean, authentic style for those who don’t just walk the path of life – they stomp it and leave footprints. That’s what led to Oakley fuel cell. The idea here is unflinching originality and a smooth look. It’s proof that when authenticity speaks for itself, it speaks with volume.Oakley was created for world-class athletes, those who see the limits of possibility as just another challenge. Their dedication drives the brand to look beyond the conventional ideas of industry standards. It's in Oakley's DNA to identify problems, create inventions, and wrap those inventions in art. And simply to make things better than anyone thought possible. Decades of Oakley innovation have been awarded more than 540 patents that elevate physics to the level of art. Technologies transcend sports to enhance the lives of consumers, and more than 110 countries now enjoy a full array of market-leading products including premium sunglasses, goggles, prescription eyewear, apparel, footwear and accessories. These products represent Oakley's commitment to excellence - a passion that redefines what is possible for those who defy their own limits. The Iconic Oakley Fuel CellOakley has been toying with a mix of art and technology for some time. The idea was to create clean, authentic style for those who don’t just walk the path of life – they stomp it and leave footprints. That’s what led to Oakley Fuel Cell. The idea here is unflinching originality and a smooth look. It’s proof that when authenticity speaks for itself, it speaks with volume. The two lenses are cut from a single shield of optically pure Plutonite® then placed in the frame to maintain the original, continuous contour. An innovation of High Definition Optics® (HDO®), Polaric Ellipsoid™ lens geometry extends clarity all the way to your peripheral view, exceeding ANSI Z87.1 optical standards. Impact protection meets ANSI Z87.1 basic standards while UV filtering is an unbeatable 100% for every single ray of UVA, UVB and UVC. The lens curvature and frame architecture improve side protection, and durable yet lightweight O Matter® frame material maximizes comfort with a perfect Three-Point Fit.Oakley HDPolarized lenses are an option for Fuel Cell, and they block 99% of those irritating rays that interfere with vision. You’ll also see “Iridium®” in the list of optional lenses. It’s a permanent coating that tunes and balances light while reducing glare. Lens:Dual lens Polaric Ellipsoid™ geometryDual lens Polaric Ellipsoid™ geometryOptical precision and impact resistance meet or exceed Z87.1 optical and basic impact standardsOptical precision and impact resistance meet or exceed Z87.1 optical and basic impact standardsUV protection of Plutonite® lens material that filters out 100% of UVA/ UVB/ UVC &amp; harmful blue light up to 400nmUV protection of Plutonite® lens material that filters out 100% of UVA/ UVB/ UVC &amp; harmful blue light up to 400nmGlare reduction and tuned light transmission of Iridium® lens coating (optional) Glare reduction and tuned light transmission of Iridium® lens coating (optional)  Frame:Durability and all-day comfort of lightweight, stress resistant O Matter® frame materialDurability and all-day comfort of lightweight, stress resistant O Matter® frame materialComfort and performance of Three-Point Fit that holds lenses in precise optical alignmentComfort and performance of Three-Point Fit that holds lenses in precise optical alignmentMetal icon accentsMetal icon accents  High Definition Optics UV Protection Impact Protection Premium Frame Materials  Fuel Cell HDO is a combination of technologies and patented innovations that give you clearer, sharper, and more accurate vision. HDO virtually eliminates distortion common in high-wrapped sunglasses. Fuel Cell Plutonite filters out 100% of UVA, UVB, UVC, and harmful blue light up to 400nm. Fuel Cell lenses are tested under extreme circumstances to guarantee superior portection against objects at varying speeds that no other lens offers. Oakley has sought out the best materials to design and engineer all frames to provide the ultimate in performance, comfort, and design. Oakley was created for world-class athletes, those who see the limits of possibility as just another challenge. Their dedication drives the brand to look beyond the conventional ideas of industry standards. It's in Oakley's DNA to identify problems, create inventions, and wrap those inventions in art. And simply to make things better than anyone thought possible. Decades of Oakley innovation have been awarded more than 540 patents that elevate physics to the level of art. Technologies transcend sports to enhance the lives of consumers, and more than 110 countries now enjoy a full array of market-leading products including premium sunglasses, goggles, prescription eyewear, apparel, footwear and accessories. These products represent Oakley's commitment to excellence - a passion that redefines what is possible for those who defy their own limits.See more</t>
  </si>
  <si>
    <t>phikttu Classic Aviator Sunglasses for Men Women Retro Trendy Driving Sun glasses Polarized Lens UV Blocking</t>
  </si>
  <si>
    <t>phikttu</t>
  </si>
  <si>
    <t>NIEEPA Men's Sports Polarized Sunglasses Square Frame Glasses NP1007</t>
  </si>
  <si>
    <t>NIEEPA</t>
  </si>
  <si>
    <t>LYZOIT Square Oversized Sunglasses for Women Men Big Flat Top Fashion Shield Large UV Protection Rimless Shades</t>
  </si>
  <si>
    <t>LYZOIT</t>
  </si>
  <si>
    <t>Goodr OG Sunglasses</t>
  </si>
  <si>
    <t>Goodr</t>
  </si>
  <si>
    <t>Look hip and stylish with the goodr A Gingers Soul Polarized Sunglasses. These shades feature a special grip coating that will eliminate slippage when sweating and the snug lightweight frame fits comfortably on the face to prevent bouncing. They also feature a glare reducing, polarized lens with UV400 protection that will keep your eyes protected from the harmful UV rays of the sun.Special Grip CoatingSpecial Grip CoatingSnug, Lightweight FrameSnug, Lightweight FrameGlare Reducing Polarized LensesGlare Reducing Polarized LensesUV400 ProtectionUV400 ProtectionMade for Running, Great for Beasting and BikingMade for Running, Great for Beasting and BikingModel number: OG-BK-BK1Model number: OG-BK-BK1</t>
  </si>
  <si>
    <t>Freckles Mark Vintage Retro 70s Sunglasses for Women Men Classic Large Square Aviator Trendy Glasses</t>
  </si>
  <si>
    <t>Freckles Mark</t>
  </si>
  <si>
    <t>At Freckles Mark, we love sunshine, colors, fashion, comfort...and sunglasses! :) Sunglasses allow us to express emotions, feelings and pizzazz. We strive to deliver fashionable, yet comfortable and affordable eyeglasses to everyone. Let your eyes shine under the sun of your Freckles Mark sunglasses.</t>
  </si>
  <si>
    <t>COLOSSEIN Womens Sunglasses UV400 Mirrored Lens, Fit for Outdoor, Vacation, Driving</t>
  </si>
  <si>
    <t>COLOSSEIN</t>
  </si>
  <si>
    <t>KAPVOE Photochromic Cycling Glasses Men Women Mountain Bike Sunglasses Clear MTB Bicycle Riding</t>
  </si>
  <si>
    <t>KAPVOE</t>
  </si>
  <si>
    <t>Polarized Sunglasses for Men Driving Mens Sunglasses Rectangular Vintage Sun Glasses For Men/Women</t>
  </si>
  <si>
    <t>Sinuoda</t>
  </si>
  <si>
    <t>OLIN Yoela Triangle Rimless Sunglasses One Piece Colored Transparent Sunglasses For Women and Men</t>
  </si>
  <si>
    <t>OLINOWL</t>
  </si>
  <si>
    <t>About Yoela'S SECRET Up to date latest eyewear styles with qualities and designs surpassing similar mainstream product. Gender: Unisex Material: Polycarbonate (PC) lens, plastic frame Net weight: 35g Package content: one sunglass Feature:  A simple and casual wear with a personalized triangle sunglasses, super cute and super fun ,that will give you an overall look of 100 points.we are sure it will win your hearts on sunny days!Available in a variety of fun colors to match all your outfits.Add points to your overall look when you go to the beach, party, travel, shopping, etc. Cleaning Tips- Treat sunglasses mildly and clean regularly- Clean the lens with water or warm mild liquid- Wipe the sunglasses with the soft glasses clothColor Disclaimer: Due to monitor settings, monitor pixel definitions, we cannot guarantee that thecolor you see on your screen is the exact color of the product. We strive to make our colors asaccurate as possible. however, colors might be approximations of actual colors.Guaranteed PurchaseWe aim to provide high-quality products and top-notch customer service to everyone in the world.We sincerely offer you 100% satisfaction guarantee. We'll work with you to resolve any issuesyou come across and ensure that you're satisfied with your experience.</t>
  </si>
  <si>
    <t>Polarized Clip On Sunglasses Over Prescription Glasses Men Women Compact Fit Non-Flip Up</t>
  </si>
  <si>
    <t>CAXMAN</t>
  </si>
  <si>
    <t>CARFIA Vintage Polarized Sunglasses for Men UV400 Protection Retro Fashion Eyewear Hand-crafted Acetate Frame CA5288L</t>
  </si>
  <si>
    <t>MEETSUN Fit Over Glasses Sunglasses for Men Women,Wrap Around Sunglasses Polarized 100% UV400 Protection</t>
  </si>
  <si>
    <t>Lasiyanor Lightweight TAC Polarized Tinted Classic Vintage Retro 70s Sunglasses, TR-90 Frame for Women Men, UV 400 Protection</t>
  </si>
  <si>
    <t>Lasiyanor</t>
  </si>
  <si>
    <t>KleenGuard™ V30 Nemesis™ Safety Glasses (22475), with Anti-Fog Coating, Smoke Lenses, Black Frame, Unisex Sunglasses for Men and Women (Qty 12)</t>
  </si>
  <si>
    <t>KLEENGUARD</t>
  </si>
  <si>
    <t>ShadyVEU Super Dark Black Lens Round Sunglasses UV Protection Spring Hinge Soft Matte Frame Fashion Shades</t>
  </si>
  <si>
    <t>ShadyVEU</t>
  </si>
  <si>
    <t>Frienda 8 Pairs Heart Shaped Sunglasses for Women Rimless Heart Glasses Candy Color Heart Sunglasses for Party Favor</t>
  </si>
  <si>
    <t>Frienda</t>
  </si>
  <si>
    <t>QALLY Polarized Sunglasses Men Lightweight Square Mens Sun Glasses for Driving Sports with UV400 Protection</t>
  </si>
  <si>
    <t>QALLY</t>
  </si>
  <si>
    <t>KastKing FlatRock Polarized Sport Sunglasses for Men and Women, Ideal for Driving Fishing Cycling Running, UV Protection</t>
  </si>
  <si>
    <t>KastKing</t>
  </si>
  <si>
    <t>Ofwin Polarized Sports Sunglasses for Men Women Unbreakable Frame Cycling Fishing Wrap Around Sunglasses UV400 Protection</t>
  </si>
  <si>
    <t>Ofwin</t>
  </si>
  <si>
    <t>A｜X ARMANI EXCHANGE Men's Ax2012s Rectangular Sunglasses</t>
  </si>
  <si>
    <t>A｜X ARMANI EXCHANGE</t>
  </si>
  <si>
    <t>Young and contemporary, A|X Armani Exchange sunglasses redefine the essentials of Armani style through a sophisticated use of urban style. These Armani Exchange AX2012S sunglasses for men feature a rectangular metal frame with a double bridge, tapered temples embellished with the A|X logo and solid, gradient or polarized gradient lenses. The lenses on the AX2012S sunglasses are scratch resistance and are coated with 100% UV protection to protect your eyes from harmful UV rays. Each pair of A|X Armani Exchange sunglasses come with a sunglass case and cleaning cloth to clean, protect and store your sunglasses. A|X Armani Exchange sunglasses sold by authorized sellers, like Amazon..</t>
  </si>
  <si>
    <t>KastKing Hiwassee Polarized Sport Sunglasses for Men and Women, Wrap Sunglasses for Fishing Cycling and Running,UV Protection</t>
  </si>
  <si>
    <t>BEACOOL Polarized Sports Sunglasses for Men Women Youth Baseball Cycling Running Driving Fishing Golf Motorcycle TAC Glasses</t>
  </si>
  <si>
    <t>BEACOOL</t>
  </si>
  <si>
    <t>1️⃣.Bea CooL - Worth your try and trust.👨‍</t>
  </si>
  <si>
    <t>ZENOTTIC Polarized Round Sunglasses, Stylish Sunglasses for Men and Women Retro Classic, Multi-Style Selection</t>
  </si>
  <si>
    <t>suoso Polarized Sunglasses Men Sports Sunglasses Womens: UV400 Protection Sunglasses for Women Wrap Around Cycling Glasses</t>
  </si>
  <si>
    <t>Sport Polarized Sungalsses for Men Women: UV400 Protection Flexible Frame Wrap Around Sun Glasses for Cycling Fishing Driving Running BaseballEyewear Type: Sports Polarized Sunglasses for Men Women The womens sunglasses are designed for those who are keen on outdoor activities.The mens sunglasses super light environmentally friendly material frame: You can hardly feel them on your face!Polarized lenses block 100% of the sun's harmful UVA &amp; UVB raysThe women's sunglasses have great fashion frame design for cycling, running, fishing etc. outdoor lifestyles.We Picked Ultra-light Materials for Glasses Frame, Shatterproof Polarized Lenses and We Took Care so that every Edge is Smoothed and Polished so you’ll even Forget that you Wear them out in the Sun.The unique flexible spring hinge and frame , fit for your face perfectly while wearing this.FEATURES AND BENEFITS: The polarized sunglasses women: cool full frame design for clear lower vision field.Durable and unbreakable frames and lens.Polarized lens help eliminate reflected and scattered glares.Good for sports or other outer door activities.Packaged Included:Portable Zippered Hard Protection Case, Colour Box, Pouch, Glasses cloth, Strap ectWarmly reminded:Please use neutral detergent or soap water to clean, gently wipe dry with a clean soft cloth.</t>
  </si>
  <si>
    <t>MEETSUN Polarized Sunglasses for Men Women Classic Retro Sun Glasses for Driving Fishing 100% UV Protection</t>
  </si>
  <si>
    <t>Ray-Ban RB2140 Original Wayfarer Sunglasses</t>
  </si>
  <si>
    <t>Born to wander, the Wayfarer has never stood still. In the early ‘50s, as moldable plastics entered the scene, the Wayfarer shifted sunglasses from function to style and the rest is history. Today, the Wayfarer continues to challenge the unexplored with timeless swagger. The RB2140 Original Wayfarer is the most recognizable style in the history of sunglasses. Since its initial design in 1952, the Wayfarer gained popularity among celebrities, musicians, artists and those with an impeccable fashion sense. As an iconic style, it always makes a statement. Available in a variety of frame and lens combinations, from black to Havana frames and gradient, solid, or polarized lenses. Ray-Ban sunglasses sold by authorized sellers, like Amazon, are eligible for all manufacturer warranties and guarantees. Click on the Ray-Ban link above the product title to shop the entire Ray-Ban sunglass and eyeglass assortment.</t>
  </si>
  <si>
    <t>Goodr Mach GS Sunglasses</t>
  </si>
  <si>
    <t>Mirrored Reflective Lenses For Regular or Wider Heads Best Suited for Reaching New Heights Â SPLIT GOODR + AVIATORS = MACH Gs Our MACH Gs are a classic aviator style made to give you the speed if you feel the need. Plus, this smooth, sleek frame means no unsightly imprints on your nose from those weird nose pads on traditional metal aviator frames. SPLIT LOOK GOOD, FLY GOODR. 1 NO SLIP We use special grip coating and silicone nose inserts to construct our frame to help eliminate slippage when sweating. 2 NO BOUNCE Our frame is flight-weight to prevent bouncing when running, biking, beasting, or exceeding speeds of Mach 5.* *Not tested at hypersonic speed, but…we’re pretty sure. 3 ALL POLARIZED The speed of light got nothing on you. These glare-reducing, polarized lenses with UV400 protection blocks 100% of those harmful UVA and UVB rays. 4 ALL SPEED An all new shape built to give you the ultimate speed advantage whether you're crushing beers or crushing your competition. 5 FREE MILE HIGH CLUB MEMBERSHIP Included with purchase. INTRODUCING KITTY HAWKERS' RAY BLOCKERS. Some people say the Wright Brothers were rocking a pair of these teal framed pink accented aviators when they decided to block out not just the rays at Kitty Hawk, North Carolina, but also their peer Glenn Curtiss from modern aviation history, because if they can build the world's first aeroplane, then they can certainly build the world's first time machine. Is this info true? We don't know. But some people said it. READ THE ORIGIN STORY SPLIT</t>
  </si>
  <si>
    <t>ZENOTTIC Square Polarized Sunglasses for Men Ultralight Carbon Fiber Sun Glasses Driving Fishing Golf Sports UV400 Protection</t>
  </si>
  <si>
    <t>Polarized Sunglasses for Men Aluminum Mens Sunglasses Driving Rectangular Sun Glasses For Men/Women</t>
  </si>
  <si>
    <t>monrich</t>
  </si>
  <si>
    <t>LUENX Aviator Sunglasses for Men Women Polarized New Shades Large Metal Frame - UV 400 Protection</t>
  </si>
  <si>
    <t>LUENX</t>
  </si>
  <si>
    <t>SOJOS Retro Round Polarized Sunglasses for Women Men Classic Vintage Sunnies SJ2069</t>
  </si>
  <si>
    <t>Oakley Men's Oo9363 Flak Beta Rectangular Sunglasses</t>
  </si>
  <si>
    <t>KastKing Skidaway Polarized Sport Sunglasses for Men and Women,Ideal for Driving Fishing Cycling and Running,UV Protection</t>
  </si>
  <si>
    <t>AEVOGUE Polarized Sunglasses For Women And Men Semi Rimless Frame Retro Sun Glasses AE0369</t>
  </si>
  <si>
    <t>ABOUT AEVOGUE SUNGLASSES Different eyewear should bring you different emotions, and match your personality and lifestyle‘The best’ doesn’t always mean the most expensive - everyone has their own preference! Beauty follows you hereGreat fashion design AEVOGUE sunglasses for ski, golf, cycling, running, fishing, driving, bike, cricket, motorcycle and all outdoor sports activities100% UV protection DISCOVER THE AEVOGUE SUNGLASSES DIFFERENCEBest Customer Service CareMeet our friendly customer service team focused on providing the best shopping experience and making every customer happy. Quality ControlWe care about how you feel about our product. Every piece of eyewear is given extra attention for quality and packaged with care before it leaves our warehouse. Price ConsciousWe are a family owned company who believes you can wear any style at a fraction of the price without compromising quality. FEATURES AND BENEFITS Reduce surface reflectionsDurable and lightweight frameEasy to cleanScratch resistant lensUV protection lensFlattering lines and aesthetically pleasing appearanceFashion and stylish design cool sunglasses for mens and womensCARETo avoid damage, never clean your sunglasses with paper towels or clothing, and also avoid using household detergents or soaps. While a few mild soaps don't harm lenses, today's extra strength soaps are powerful enough to slowly disintegrate lens coatings.</t>
  </si>
  <si>
    <t>BEACOOL Polarized Sports Sunglasses for Men Women Youth Baseball Fishing Cycling Running Golf Motorcycle Tac Glasses UV400</t>
  </si>
  <si>
    <t>Retro Round Polarized Steampunk Sunglasses Men Women Side Shield Goggles Gothic S92-ADVANCED POLARIZED</t>
  </si>
  <si>
    <t>Sunier</t>
  </si>
  <si>
    <t>Retro Rewind Polarized Sunglasses for Men and Women - UV Protection Classic Sun Glasses</t>
  </si>
  <si>
    <t>Retro Rewind</t>
  </si>
  <si>
    <t>MEETSUN Polarized Sunglasses For Men Women UV Protection Square Frame Sport Fishing Driving Sunglasses</t>
  </si>
  <si>
    <t>ATTCL Men's Fashion Driving Polarized Sunglasses for Men - Al-Mg metal Ultralight Frame</t>
  </si>
  <si>
    <t>IRONMAN Men's Principle Sunglasses</t>
  </si>
  <si>
    <t>IRONMAN</t>
  </si>
  <si>
    <t>From Foster Grant’s Ironman collection comes Principle, a pair of wraparound sunglasses for men from the new Ironman collection. Carefully crafted from matte black rubberized plastic, this pair of retro sunglasses for men feature a full wrap-around frame and impact-resistant smoke-colored lenses with a silver mirror flash tint. Worn for 90 years by global icons and trendsetters, Foster Grant sunglasses are the original American sunglasses brand. Now Foster Grant is the market leader in popular-priced eyewear with a full range of sunglasses, reading glasses and digital glasses. Foster Grant believes in real style – eyewear that is effortlessly fashion-forward and perfectly you, with true quality you can see and feel. Our talented designers in New York, London, and Milan search the globe for the freshest looks and inspiration, and transform them into fashion-forward styles that are uniquely flattering and wearable. Every pair of our eyewear is carefully constructed to give you the most comfortable fit. And with every stylish pair affordably priced, you can create all the looks to express the many shades of you.</t>
  </si>
  <si>
    <t>FAGUMA Sports Polarized Sunglasses For Men Cycling Driving Fishing 100% UV Protection</t>
  </si>
  <si>
    <t>LUENX Aviator Sunglasses for Men Square Polarized Polygon Lens - UV 400 Protection with Accessories 61MM Driving Outdoor</t>
  </si>
  <si>
    <t>➤Why You Should Choose Luenx Sunglasses? Because if you buy expensive sunglasses, you have to worry about scratching or losing on vacation. Because if you buy cheap sunglasses, you have to worry about the quality and the safety whether it is potentially harmful to your eyes. Also cheaply made material and design is too low-grade to wear. ➤ But LUENX, with the highest value for money in the sunglasses industry, enables you to spend a small amount of money to buy a pair of high quality sunglasses. Each pair of sunglasses is UV 400 protection with 100% polarized lenses, giving you full protections when driving or outdoor activities. Stylish designs fit in well any cloth matching. ➤Product Features 1.Polarized HD lenses filter out reflected glare and UV rays to protect your eyes.2.Durable stainless steel metal frames with reinforced hinges for long-lasting wear.3.Stylish aviator design complements various face shapes.4.Ideal for outdoor activities like driving, hiking, traveling, and sports.5.Unisex sunglasses make a great gift for family and friends. ➤Accessories 1x Sunglasses1x Soft Glasses Cloth1x Soft Glasses Pouch1x Exquisite Packaging Carton1x Polarized Test Card</t>
  </si>
  <si>
    <t>Oakley Man Sunglasses Matte Black Frame, Grey Lenses, 57MM</t>
  </si>
  <si>
    <t>Catch our selection of Oakley glasses and sunglasses for men and women, perfect for those looking for high performance and exceptional design for everyday styles and sports eyewear. Discover Oakley classics such as frogskin frames and prism lenses that crank up your active look on the street and improve your performance on the field.</t>
  </si>
  <si>
    <t>Fit Over Sunglasses Polarized Lens Wear Over Prescription Eyeglasses 100% UV Protection for Men and Women</t>
  </si>
  <si>
    <t>Success Eyewear</t>
  </si>
  <si>
    <t>grinderPUNCH 2 Pack XL Polarized Men's Big Wide Frame Sunglasses - Large Head Fit</t>
  </si>
  <si>
    <t>Specially Design Wide Frame Sunglasses Designed to Fit Larger Sized Faces...Sometimes Called "Big Head Sunglasses" 5.8 Inch Wide Temples - Average Sized Sunglasses are 5.4 Inches Wide. Comes with Polarized Lens, Anti Glare - Makes it Perfect for Driving, Fishing, Golfing, Hiking, Walking and Many More Outdoor Activities!</t>
  </si>
  <si>
    <t>TIJN Polarized Colored Sunglasses for Womens Mens,Retro Small Round Frame,UV400 Protection Sunnies,Tinted Lens Vintage Style</t>
  </si>
  <si>
    <t>TIJN</t>
  </si>
  <si>
    <t>LUENX Rectangular Polarized Aviator Sunglasses for Men Retro Pilot Shades Driving UV400 Protection</t>
  </si>
  <si>
    <t>KALIYADI Sunglasses Men Polarized for Mens and Womens Unisex Sun Glasses for Driving UV Protection</t>
  </si>
  <si>
    <t>BOTPOV Aviator Sunglasses for Men Women Polarized UV400 Protection Mirrored Lens Metal Frame with Spring Hinges…</t>
  </si>
  <si>
    <t>BOTPOV</t>
  </si>
  <si>
    <t>LUENX Aviator Sunglasses for Men Women-Polarized Shades Driving UV 400 Protection 59 MM</t>
  </si>
  <si>
    <t>CARFIA Acetate Polarized Sunglasses for Men UV400 Protection Classic Retro Square Shades Driving Glasses</t>
  </si>
  <si>
    <t>ROCKBROS Polarized Sunglasses UV Protection for Women Men Cycling Sunglasses</t>
  </si>
  <si>
    <t>ROCKBROS</t>
  </si>
  <si>
    <t>Joopin Sport Sunglasses UV400 Protection Wrap Around Sun Glasses Shades for Men Women</t>
  </si>
  <si>
    <t>J+S Premium Military Style Classic Aviator Sunglasses, Polarized, 100% UV protection</t>
  </si>
  <si>
    <t>J+S</t>
  </si>
  <si>
    <t>J+S Premium Military Style Classic Aviator Sunglasses Polarized and 100% UV protection - protect your eyes without compromising on style, comfort and safety.Polarized and 100% UV protection sunglasses helps:- Reduce eyestrain, no tired eyes after a full day in the sun.- Reduce reflections and glare (esp important for those with sensitive eyes or post surgery recovery)- Protect your eyes against harmful UV rays, minimizing damage to your eyesight in the long run.- Improve contrast and visual clarityMeasurements:- Overall Width: 152mm (Large) / 140mm (Medium)- Lens Width: 62mm (Large) / 58mm (Medium)- Lens Height: 50mm (Large) / 46mm (Medium)- Temple Length: 130mm- Bridge Width: 14mmLarge (62mm): Suitable for average - large male, or female for a oversized fitMedium (52mm): Suitable for the average male, or femaleHere are 5 Reasons you're Going to LOVE Your J+S Military Style Classic Aviators:1. It blocks 99-100% of both UVA and UVB harmful radiation2. It has a special polarized filter to block over 99.96% of glare3. Classic unisex design (So you can protect your eyes while looking stylish)4. Made of lightweight yet durable metallic alloy with spring loaded hinges ensuring maximum comfort.5. Backed by 30 DAY MONEY BACK GUARANTEE and a 1 YEAR WARRANTY when purchased from an authorized seller*: jassuOrder yours now because you literally RISK NOTHING!BONUS: All J+S sunglasses comes gift packaged ready, making these sunglasses a wonderful yet practical gift idea for your active friends and family!Order your J+S Premium Military Style Classic Aviator Sunglasses and join thousands of other satisfied customers who LOVE the J+S Vision difference!</t>
  </si>
  <si>
    <t>Ray-Ban Men's Rb2027 Predator 2 Rectangular Sunglasses</t>
  </si>
  <si>
    <t>Whether you want to protect your eyes from harmful UV rays or protect the Earth from alien invasion, you can be prepared with Ray-Ban Predator 2 men’s sunglasses. Ray-Ban RB2027 Predator 2 sunglasses take on the traditional rectangular design and display the Ray-Ban signature logo on the thin temples. The insides of the Predator temple tips feature a subtle striped texture treatment. The wrapped fit creates a sporty look that is both casual and athletic. These Ray-Ban sunglasses for men are stylish, comfortable, and provide 100% UV protection.Our Predator 2 men’s sunglasses feature classic crystal green lenses, which improve vision in multiple light conditions. These lenses measure 62 mm wide by 38 mm high. The bridge measurement is 19 mm, and the arms are 130 mm in length. Our high-quality lenses can be replaced with prescription lenses. Ray-Ban lenses have been fine-tuned over the past 70 years of innovation and research and block 99% of reflected light. To keep them clean, we’ve included a lens cloth in the case.These men’s sunglasses are lightweight, durable, and fashionable. They will hold up against frequent use. The shape and curvature may need adjustment for precision fit. If you decide to precision fit the Ray-Ban Predator 2, make sure to have a professional adjust them for you. Wear RB2027 Predator 2 sunglasses in a black frame and a variety of lens treatments including polarized, non-polarized and mirrored.</t>
  </si>
  <si>
    <t>MERRY'S Unisex Polarized Aluminum Sunglasses Vintage Sun Glasses For Men/Women S8286</t>
  </si>
  <si>
    <t>Polarized Sports Sunglasses for Men Women with 5 Interchangeable Lenes for Cycling Sunglasses Running Baseball Finishing</t>
  </si>
  <si>
    <t>BangLong</t>
  </si>
  <si>
    <t>JULI Sports Sunglasses for Men Women Tr90 Rimless Frame for Running Fishing Golf Surf Driving MJ8009</t>
  </si>
  <si>
    <t>JULI Eyewear</t>
  </si>
  <si>
    <t>CGID Premium Al-Mg Alloy Pilot Polarized Sunglasses UV400, Spring Hinges Sun Glasses for Men Women</t>
  </si>
  <si>
    <t>CGID</t>
  </si>
  <si>
    <t>Duduma Sports Polarized Sunglasses for Men Women Baseball Cycling Golf Fishing Sun Glasses UV Blocking Tr8116</t>
  </si>
  <si>
    <t>Duduma</t>
  </si>
  <si>
    <t>DISCOVER THE DUDUMA DIFFERENCE Provide The Best Quality Sunglasses and Customer Service on Amazon The super light TR8116 frame: You can hardly feel them on your face, yet they are unbreakable! TR8116 frame for the most comfortable fit available today in addition to unparalleled durability. Great fashion frame design for golf, cycling, running, fishing etc. outdoor lifestyles. 99% UV protection lens. FEATURES AND BENEFITS High definition optics Durable and unbreakable frames and lens Polarized lens help restore true color Polarized lens help eliminate reflected and scattered glares Good for sports or other outer door activities INCLUDES 1*Cleaning soft cloth 1*Cleaning soft fabric sunglasses pouch CARE To avoid damage, never clean your sunglasses with paper towels or clothing, and also avoid using household detergents or soaps. While a few mild soaps don't harm lenses, today's extra strength soaps are powerful enough to slowly disintegrate lens coatings.</t>
  </si>
  <si>
    <t>KALIYADI Sunglasses for Women and Men, Polarized Square UV Protection, Trendy Metal Frame Hexagon Sunglasses</t>
  </si>
  <si>
    <t>SOJOS Classic Polarized Sunglasses for Women Men Trendy Square Frame SJ2149</t>
  </si>
  <si>
    <t>Salfboy Polarized Sports Sunglasses for Men Fishing Sun Glasses Mixed Style UV Protection Fan Sports Sunglasses</t>
  </si>
  <si>
    <t>Salfboy</t>
  </si>
  <si>
    <t>BIRCEN Polarized Mens Sunglasses: UV Protection Black Blue Shades for Men Sport Driving with Al-Mg Metal Frame</t>
  </si>
  <si>
    <t>BIRCEN</t>
  </si>
  <si>
    <t>Armani Exchange Man Sunglasses Matte Black Frame, Grey Lenses, 62MM</t>
  </si>
  <si>
    <t>AX Armani Exchange glasses and sunglasses interpret the refined Armani style with a trendy modern touch. From classic everyday looks to edgy playful styles, shop our range of Armani Exchange frames for women and men and discover how Armani elegance transforms into a casual, youthful and urban attitude. Don’t miss our best sellers and new arrivals that bring you all the latest fashion appeal at affordable prices. Available with prescription lenses and in a variety of sun shades.AX Armani Exchange interpret the refined and unique style of the Armani world with a modern sensibility, for a young, urban, casual consumer, looking for the Armani elegance but with a pop accent at an affordable price</t>
  </si>
  <si>
    <t>Occhsouo Polarized Sunglasses Womens Men - Sun glasses Fashion Trendy Driving Fishing UV Blocking UV400 Protection</t>
  </si>
  <si>
    <t>Occhsouo</t>
  </si>
  <si>
    <t>Woodies Walnut Wood Sunglasses with Dark Polarized Lenses for Men and Women | 100% UVA/UVB Ray Protection</t>
  </si>
  <si>
    <t>Woodies</t>
  </si>
  <si>
    <t>JULI Sports Sunglasses for Men Women Tr90 Rimless Frame for Running Fishing Baseball Driving MJ8001</t>
  </si>
  <si>
    <t>ATTCL Men's Retro Metal Frame Driving Polarized Sunglasses For Men</t>
  </si>
  <si>
    <t>RIVBOS Sunglasses for Men Women Polarized UV Protection Sports Fishing Driving Shades Cycling RB833</t>
  </si>
  <si>
    <t>RIVBOS</t>
  </si>
  <si>
    <t>Ironman Men's Relentless Wrap Sunglasses, Matte Black, 63 mm</t>
  </si>
  <si>
    <t>Ironman Men's Relentless Wrap Sunglasses, Matte Black, 63 mmFoster Grant introduces relentless, a pair of men's sunglasses from the new Ironman collection. This pair of sunglasses is crafted from a Matte Black, plastic, wrap full frame. With impact resistant and Smoke colored lenses that come with a tint of silver flash, these sunglasses are ready for anything. Be relentless, your sunglasses already are.</t>
  </si>
  <si>
    <t>BluBlocker, Black Original Aviator Sunglasses with Scratch Resistant Lens | Blocks 100% of Blue Light and UVA &amp; UVB Rays | Retro | Gender Neutral - for Men, Women &amp; Everyone | 2701K |</t>
  </si>
  <si>
    <t>BluBlocker</t>
  </si>
  <si>
    <t>Gtand Fashion Oversized Square Aviator Gradient Sunglasses For Men Women Vintage Metal Sun Glasses 63mm</t>
  </si>
  <si>
    <t>Gtand</t>
  </si>
  <si>
    <t>Ziwanule Polarized Aviator Sunglasses for Men/Women Metal Mens Sunglasses Driving Sun Glasses</t>
  </si>
  <si>
    <t>Ziwanule</t>
  </si>
  <si>
    <t>ROCKBROS Photochromic Sports Sunglasses for Men Women Cycling UV Protection</t>
  </si>
  <si>
    <t>AIMADE Premium Military Polarized Aviator Sunglasses Metal Frame Unique Design Sun glasses For Mens Womens 100% UV Protection</t>
  </si>
  <si>
    <t>AIMADE</t>
  </si>
  <si>
    <t>KastKing Iditarod Polarized Sport Sunglasses for Men and Women, Ideal for Driving Fishing Cycling and Running, UV Protection</t>
  </si>
  <si>
    <t>Ray-Ban Rb3025 Classic Aviator</t>
  </si>
  <si>
    <t>grinderPUNCH Mens Black Super Dark Sunglasses - Slim Wrap Around Gangster Style</t>
  </si>
  <si>
    <t>Super Dark Lens Sunglasses - 50% Darker than Standard Sunglasses. Style Great for Both Men! Similar to Biker, Cholo, Gangster Style Sunglasses. 100% UV400 Protection from Harmful Rays. Flexible and Fits the Contour of Your Face! Great for Outdoors, Riding, Fishing, Hiking or Fashion!</t>
  </si>
  <si>
    <t>Oakley Men's OO9236 Valve Rectangular Sunglasses, Black/Grey Black Iridium Polarized, 60 mm</t>
  </si>
  <si>
    <t>Oakley Men's Valve Polarized Rectangular Sunglasses, Black, 60.8 mm</t>
  </si>
  <si>
    <t>Harley-Davidson Men's Hd0006v Cat Eye Sunglasses</t>
  </si>
  <si>
    <t>Harley-Davidson</t>
  </si>
  <si>
    <t>Harley-Davidson Mens Kickstart Sunglass Shiny Black/Orange Grey Lens HDV006BLK-3</t>
  </si>
  <si>
    <t>CARFIA Retro Polarized Sunglasses for Men UV Protection Hand-crafted Acetate Frame Fashion Cool Sun Glasses 53572</t>
  </si>
  <si>
    <t>JIM HALO Retro Polarized Sunglasses Men Women Flat Top Square UV400 Glasses for Driving Fishing Hiking Golfing</t>
  </si>
  <si>
    <t>JIM HALO</t>
  </si>
  <si>
    <t>Knockaround Torrey Pines Polarized Sunglasses for Men &amp; Women - Impact Resistant Lenses &amp; Full UV400 Protection</t>
  </si>
  <si>
    <t>Knockaround</t>
  </si>
  <si>
    <t>EYLRIM Thick Square Frame Sunglasses for Women Men Fashion Chunky Rectangle Sun Glasses Black Shades</t>
  </si>
  <si>
    <t>EYLRIM</t>
  </si>
  <si>
    <t>EYLRIM is worth to try and trust: EYLRIM glasses adhere to the leading design concept in the fashion industry, and deeply design fashion and classics to keep up with the world trend. EYLRIM always insists on customer first and strictly controls the quality of products to ensure that the products received by customers are perfect.   EYLRIM Thick Rectangle Chunky Sunglasses Features  ▷Thick square frames and classic integrated nasal bracket design, can give you different experience. The classic contour can decorate all kinds of face shapes, with color lens embellishment.  ▷90s These chunky sunglasses are Ideal for outdoors such as parties, photo booths, travel, shopping, daily use, and other outdoor activities. It Is the ideal gifts for friends or families for birthday, Valentine’s Day, Christmas, Thanksgiving Day, and other Holiday Gifts.  ▷These classic trendy square sunglasses can protect your eyes from the sun for a long time. When you explore under the sun, sunglasses can effectively filter harmful ultraviolet rays, provide you with natural and clear vision to discover the beautiful world.  ▷It’s the perfect accessories for any outfit, can go with various of features and clothing.  Package includes: 1* High Quality Sunglasses 1* Microfiber cleaning cloth 1* Microfiber pouch 1* Mini repair screwdriver 1* Exquisite Brand Packing Box CARE: Please use neutral detergent or soap water to clean, gently wipe dry with a clean soft cloth.   We will check the details of each pair of glasses before shipping to ensure that the glasses you receive are free of defects. If you have any problems after receiving the goods, please contact our customer service as soon as possible, and we will solve your problems free of charge.</t>
  </si>
  <si>
    <t>SUNGAIT Men's Polarized Square Aviator Sunglasses Durable Metal Frame for Fishing Driving Golf 100% UV Protection</t>
  </si>
  <si>
    <t>Ray-Ban Man Sunglasses Black Frame, Green Lenses, 54MM</t>
  </si>
  <si>
    <t>Timeless and original, colorful and bold. Discover our iconic selection of Ray-Ban sunglasses and eyeglasses for both men and women made to match your style whilst defining your vision. Including the most-loved and best-selling models such as the legendary Aviator, Wayfarer, Clubmaster, Round and many more - not forgetting our fashionable new arrivals too. With different styles for every face shape, find your perfect pair.</t>
  </si>
  <si>
    <t>LINVO Polarized Sunglasses for Men Women Semi-Rimless Retro Driving Sun Glasses 100% UV400</t>
  </si>
  <si>
    <t>Show your charm and personality,starting with the story of you and LINVO!</t>
  </si>
  <si>
    <t>Oakley Men's Oo9239 Crankshaft Rectangular Sunglasses</t>
  </si>
  <si>
    <t>Oakley fused their classic Gascan and Fuel Cell sunglasses to create the streetwise Oakley Crankshaft sunglasses. The Oakley Crankshaft rectangular sunglasses feature durable, lightweight O Matter frames and a Three-Point Fit which helps eliminate pressure points while holding lenses in perfect alignment. Each pair of Crankshaft sunglasses sport Oakley's famous Plutonite lenses that block 100% of all UVA, UVB, UVC and harmful blue light up to 400mm.</t>
  </si>
  <si>
    <t>Elite Slim Rimless Rectangular Metal &amp; Wood Art Aviator Sunglasses</t>
  </si>
  <si>
    <t>FLAWLESS EYEWEAR</t>
  </si>
  <si>
    <t>SOJOS Retro Aviator Polarized Sunglasses Womens Mens Vintage Square 70s Shades Classic Sun Glasses UV400 SJ2222</t>
  </si>
  <si>
    <t>Joopin Semi Rimless Sunglasses Polarzied UV400 Protection, Classic Half Frame Shades for Men Women Sun Glasses</t>
  </si>
  <si>
    <t>Bnus corning glass lens polarized sunglasses for men &amp; Women italy made w. High Performance Plastic Lens option</t>
  </si>
  <si>
    <t>B.N.U.S</t>
  </si>
  <si>
    <t>Bio-th Polarized Aviator Sunglasses for Women Men UV Protection Metal Mirror Frame</t>
  </si>
  <si>
    <t>Bio-th</t>
  </si>
  <si>
    <t>Aviator Polorized sunglasses. Large frame, round design and made of high-quality materials. Complex optical system, lenses and polarization for reduced strain in sunlight reaching a safer visual experience.Aviator Polorized Sunglasses are inspired by the classic wayfarer design. The Black Aviator is made from metal and features a clear lens. This pair of sunglasses are perfect for any occasion and will surely turn heads! Our poloroid sunglasses for men &amp; women are the perfect accessory for festive occasions. This classic aviator shape makes you feel stylish, cool and confident. Wear these sunglasses with our designed backpacks, pants and denim jackets to create an amazing outfit that will stand out from the crowd! Our sunglasses are the perfect accessory for any occasion and look great with any outfit. Whether you're at the beach, lounging by the pool or on your way to brunch, these shades can turn any day into a special one. by golly, ocio e ilustrado. Sua vida será espejuelos lentes anteojos 2022 en su última mirada.. Glamorous and versatile sunglasses featuring a sleek yet classic design.These frames are made with a combination of metal and crystal for a look that’s both modern and glam. The lenses are polarized to help reduce glare and UV protection reduces eye strain. Bio-th sunglasses embody the luxury, quality and classic design of the best in aviator polorized sunglasses.</t>
  </si>
  <si>
    <t>FEISEDY Vintage Square 70s Flat Aviator Sunglasses Women Men Metal Design Shades B2752</t>
  </si>
  <si>
    <t>Frienda 6 Pack Polarized Sport Sunglasses for Men Multipack Fit over Sunglasses Set Mens Sport Fishing Sunglasses</t>
  </si>
  <si>
    <t>POLARKING 2 PACK Polarized Sport Sunglasses for Men Matte Finish Sun glasses Mirror Lens UV Blocking</t>
  </si>
  <si>
    <t>POLARKING</t>
  </si>
  <si>
    <t>YIMI Polarized Photochromic Outdoor Sports Driving Sunglasses for Men Women AntiGlareEyewear Ultra-Light Sun Glasses</t>
  </si>
  <si>
    <t>UV400 Polarizing Lens：Sports Sunglasses feature UV400 Polarized Protective Lenses. Polarizing lenses efficiently block harmful UVA and UVB rays, ensuring complete protection from sunlight. The photochromic design can adaptively change the transparency of the lens under outdoor sunlight exposure, making it very suitable for outdoor activities such as cycling, running, fishing, and driving.  Photochromic lenses: Photochromic Sports Sunglasses . These photochromic lenses can automatically adapt to sunlight and UV levels. Enjoy improved comfort and clarity with polarized lenses that reduce glare and haze.  Package Content:  1 X Photochromic Polarized Sunglasses  1 X Glasses Box  1 X Soft Glasses Cloth  1 X Polarized Test Card</t>
  </si>
  <si>
    <t>SOJOS Trendy Aviator Sunglasses Mens Womens Retro Metal Rimless Frame Shades Lentes De Sol Para Mujer SJ1192</t>
  </si>
  <si>
    <t>DEAFRAIN Polarized Sports Sunglasses for Men Women Driving Fishing Cycling Running UV Protection</t>
  </si>
  <si>
    <t>DEAFRAIN</t>
  </si>
  <si>
    <t>Ray-Ban Man Sunglasses Havana Frame, Dark Brown Lenses, 57MM</t>
  </si>
  <si>
    <t>KALIYADI Sunglasses Men Polarized Sun glasses for Mens Womens Classic Matte Black Frame UV Protection 3pack</t>
  </si>
  <si>
    <t>Oversized Sunglasses Super Lens Thick Rim Frame</t>
  </si>
  <si>
    <t>EYLRIM Thick Square Frame Sunglasses for Women Men Chunky Rectangle Polarized Sunglasses UV400 Protection</t>
  </si>
  <si>
    <t>Calvin Klein Men's Ck19316s Aviator Sunglasses</t>
  </si>
  <si>
    <t>Calvin Klein</t>
  </si>
  <si>
    <t>Classic metal aviator shaped sunglass with adjustable nosepads</t>
  </si>
  <si>
    <t>Costa Del Mar Men's Rincon Fishing and Watersports Rectangular Sunglasses</t>
  </si>
  <si>
    <t>Costa Del Mar</t>
  </si>
  <si>
    <t>Remora's are named after a small fish that hitchhikes on some of the most voracious sharks in the ocean. Costa’s Remora sunglasses are a medium-sized, lightweight frame with a Hydrolite grip that won’t slip. Integral pin hinge provides assisted action when opening and closing the temple; and Polarized 580 Lenses to clearly see what’s out there.</t>
  </si>
  <si>
    <t>Carrera Men's Ca133/S Pilot Sunglasses</t>
  </si>
  <si>
    <t>Carrera</t>
  </si>
  <si>
    <t>Calvin Klein CK19314S Aviator Sunglasses, Black/Black/Grey, 60 mm</t>
  </si>
  <si>
    <t>JULI Polarized Sports Sunglasses for Men Women Tr90 Unbreakable Frame for Running Fishing Baseball Driving MJ8002</t>
  </si>
  <si>
    <t>Ray-Ban Men's Rb3516 Metal Square Sunglasses</t>
  </si>
  <si>
    <t>Every model in the Ray-Ban collection is the product of meticulous, original styling that translates the best of the latest fashion trends into an ever-contemporary look for millions of Ray-Ban wearers around the world. This pair are lightweight and sophisticated for everyday wear. Ray-Ban sunglasses sold by authorized sellers, like Amazon, are eligible for all manufacturer warranties and guarantees. Click on the Ray-Ban link above the product title to shop the entire Ray-Ban sunglass and eyeglass assortment.</t>
  </si>
  <si>
    <t>ROCKBROS Photochromic Sunglasses for Men Cycling Sunglasses Sports Bike Glasses</t>
  </si>
  <si>
    <t>Ray-Ban Man Sunglasses Black Frame, Green Lenses, 60MM</t>
  </si>
  <si>
    <t>Ray-Ban RB4253 Square Sunglasses, Black/Light Grey Gradient Dark Grey, 53 mm</t>
  </si>
  <si>
    <t>Ray-Ban is the world's most iconic eyewear brand and is a global leader in its sector. Every model in the Ray-Ban collection is the product of meticulous, original styling that translates the best of the latest fashion trends into an ever-contemporary look for millions of Ray-Ban wearers around the world. From the early Aviator style that emerged in 1937 to the introduction of the classic Wayfarer in 1952, Ray-Ban is a brand that embodies America and adventure, great cities and wide-open spaces, heroism, individuality, and authenticity. Starting with a silver screen debut in 1961, Ray-Ban sunglasses have appeared throughout hundreds of films and have been a favorite on the Hollywood scene for years, both on and off the screen. With timeless and imaginative styles, Ray-Ban consistently blends high-tech design, lenses, and materials. The collection remains true to its classic heritage while continuously evolving to meet today's fashion demands.Ray-Ban is the world's most iconic eyewear brand and is a global leader in its sector. Every model in the Ray-Ban collection is the product of meticulous, original styling that translates the best of the latest fashion trends into an ever-contemporary look for millions of Ray-Ban wearers around the world. From the early Aviator style that emerged in 1937 to the introduction of the classic Wayfarer in 1952, Ray-Ban is a brand that embodies America and adventure, great cities and wide-open spaces, heroism, individuality, and authenticity. Starting with a silver screen debut in 1961, Ray-Ban sunglasses have appeared throughout hundreds of films and have been a favorite on the Hollywood scene for years, both on and off the screen. With timeless and imaginative styles, Ray-Ban consistently blends high-tech design, lenses, and materials.  The collection remains true to its classic heritage while continuously evolving to meet today's fashion demands.</t>
  </si>
  <si>
    <t>Ray-Ban Rb3025 Classic Polarized Aviator Sunglasses</t>
  </si>
  <si>
    <t>Originally designed for U.S. aviators in 1937, Ray-Ban RB3025 Aviator sunglasses have quickly become one of the most iconic sunglasses models in the world. These perfect Ray-Ban Aviators for women and men are a timeless model that combines great aviator styling with exceptional quality, performance, and comfort. Aviator sunglasses by Ray-Ban are comfortable unisex glasses that are offered in multiple frame- and lens-color options. Made famous by the 1980s movie Top Gun and others, these Ray-Ban sunglasses for women and men are known for elegant wire frames that are durable and built to last. With a classic metal frame, you can see the world through a variety of lens colors including crystal brown, crystal green, G-15 non-polarized, and more—all of which provide optimal visual clarity and 100% UV protection. G-15 lenses absorb 85% of visible light and block out most blue light. They provide amazing color contrast and produce better clarity and more natural vision. These sunglasses for women and men are comfortable to wear and make a statement anywhere you wear them. To keep them clean, we’ve included a lens cloth in the case.Ray-Ban is the world’s most iconic eyewear brand and is a global leader in its sector. Every model in the Ray-Ban collection is the product of meticulous, original styling that translates the best of the latest fashion trends into an ever-contemporary look for millions of Ray-Ban wearers around the world. From the early Aviator style that emerged in 1937 to the introduction of the classic Wayfarer in 1952, Ray-Ban is a brand that embodies America, adventure, great cities, wide-open spaces, heroism, individuality, and authenticity.</t>
  </si>
  <si>
    <t>Dockers Men's Colton Sunglasses Polarized Navigator, Black, 57mm</t>
  </si>
  <si>
    <t>Dockers</t>
  </si>
  <si>
    <t>Whether relaxing outdoors or taking care of business, feel at ease in these Dockers men’s square sunglasses. This classic shape displays confidence with its thin rubberized matte black frame and metal temples. The smoke lenses are polarized to reduce glare and give 100% UVA-UVB lens protection.</t>
  </si>
  <si>
    <t>RT100 RIDE YOUR WAY Professional wrap around Frameless Cycling Sunglasses for Men and Women</t>
  </si>
  <si>
    <t>RT100</t>
  </si>
  <si>
    <t>RT100 – Relentless Pursuit to Optimize Your Performance.For professional athletics, victories depend withing a seconds. For Olympic top champions, it takes only 0.13 seconds reaction time to start the race. RT100 set the new milestone for every winner to break their own records.In RT100, each pair of sunglasses is design to improve your performance. The ergonomics and wraparound design combine customized feature to ensure the sunglasses sit securely in place and fit your face without pressure nor causing headache.Our lenses offer excellent optical clarity and help to spot moving objects, road textures and make object more solid. It helps you shorten your time to react and lower the possible risks that allow you to concentrate on your target.The TR90 plastic is lightweight, flexible and anti-deformation, it’s an ideal material for sport sunglasses. The product is tested in our in-house lab to ensure the best quality and complaint with the standard ANSI Z80.3.Join RT100 to feel the power inside you and react faster each time.</t>
  </si>
  <si>
    <t>Ironman Men's Tenacity Sunglasses Wrap, Matte Black Rubberized, 52 mm</t>
  </si>
  <si>
    <t>From Foster Grant’s Ironman collection comes Tenacity, a pair of wraparound sunglasses for men from the new Ironman collection. Carefully crafted from matte black rubberized plastic, this pair of retro sunglasses for men feature a full wrap-around frame and impact-resistant smoke-colored lenses with a silver mirror flash tint. Worn for 90 years by global icons and trendsetters, Foster Grant sunglasses are the original American sunglasses brand. Now Foster Grant is the market leader in popular-priced eyewear with a full range of sunglasses, reading glasses and digital glasses. Foster Grant believes in real style – eyewear that is effortlessly fashion-forward and perfectly you, with true quality you can see and feel. Our talented designers in New York, London, and Milan search the globe for the freshest looks and inspiration, and transform them into fashion-forward styles that are uniquely flattering and wearable. Every pair of our eyewear is carefully constructed to give you the most comfortable fit. And with every stylish pair affordably priced, you can create all the looks to express the many shades of you.Coming from Foster grant's Ironman is tenacity, a pair of sunglasses that is ready to work as hard as you do. Crafted from a Matte Black Rubberized, plastic material, this wrap frame holds semi rimless Smoke lenses that have a tint of silver mirror flash. The arms of this pair of men's sunglasses hold a yellow accent.</t>
  </si>
  <si>
    <t>FURISHQI Classic Polarized Sunglasses for Men and Women Retro Style Semi Rimless Frame Sun Glasses 100% UV Protection Goggles</t>
  </si>
  <si>
    <t>FURISHQI</t>
  </si>
  <si>
    <t>TOREGE Polarized Sports Sunglasses for Men Women Cycling Running Driving Fishing Glasses TR002</t>
  </si>
  <si>
    <t>Under Armour Men's Blitzing Wrap Sunglasses, Shiny Jet Gray, 70mm, 9mm</t>
  </si>
  <si>
    <t>Under Armour</t>
  </si>
  <si>
    <t>Eyewear made by Under Armour means you are getting a high-quality piece. This wrap frame is targeted to the male consumer. This frame is made of plastic frame and the lens is high quality plastic. To ensure the perfect fit, the size of this eyewear is: 70mm, 9mm, 125mm for the lens, bridge, and temple size</t>
  </si>
  <si>
    <t>Baililai Unisex Polarized Sunglasses Trendy Sunglasses Men/Women 100% UV blocking 1439S</t>
  </si>
  <si>
    <t>Baililai</t>
  </si>
  <si>
    <t>BIRCEN Mens Sunglasses Polarized UV Protection: Classic Shades for Men Driving Fishing with Al-Mg Metal Frame</t>
  </si>
  <si>
    <t>Joopin Hippie Round Sunglasses for Women Men Circle Sun Glasses UV400 Protection</t>
  </si>
  <si>
    <t>SHEEN KELLY Retro Rectangular Sunglasses Women Men Square Vintage Chunky Gradual Lens Luxury Gold Eyewear</t>
  </si>
  <si>
    <t>SHEEN KELLY</t>
  </si>
  <si>
    <t>grinderPUNCH - Big XL Wide Frame Extra Large Aviator Sunglasses Oversized 148mm</t>
  </si>
  <si>
    <t>grinderPUNCH Extra Large Wide fit aviator sunglasses. Great for both men and women. 100% UV400 Protection from harmful UVA and UVB rays. Extra Large Aviator Sunglasses, Lens Width: 62mm, Lens Height: 55mm, Overall Frame Width: 148mm. Adjustable Nose Pads, for a comforatble fit. Spring hinge arms - hyperextends. Each pair comes with a grinderPUNCH microfiber cleaning pouch.</t>
  </si>
  <si>
    <t>Ray-Ban Man Sunglasses Black Frame, Green Classic G-15 Lenses, 59MM</t>
  </si>
  <si>
    <t>ROCKBROS Photochromic Sunglasses Mens Bike Glasses for Sports Cycling Biking Running Fishing Sunglasses UV Protection</t>
  </si>
  <si>
    <t>ROCKBROS Photochromic Sports Sunglasses Mens Cycling Glasses MTB Biking Sunglasses, with Removable Elasctic Band</t>
  </si>
  <si>
    <t>Oakley Men's Oo9417 Holbrook XL Square Sunglasses</t>
  </si>
  <si>
    <t>Taking inspirational cues from classic film and music stars, the Oakley Holbrook XL sunglasses never look out of place. Plutonite Material lenses filters out 100% UV rays. Prizm lens treatment controls light transmissions for maximized contrast and clarity. Polarized lenses on certain models helps to cut glare; see color name for details. Six-base lens curvature offers optimized peripheral vision and side protection. Offers the protection and impact resistance that meets ANSI Z87.1 basic impact standards. O Matter frames are formulated for high durability and high flexibility for improved safety during impact. Maintains resistance to ultra-violet radiation, humidity, thermal shock, and chemical exposure. Three-Point Fit system holds lenses in precise optical alignment for supreme comfort and performance. Metal bolt accents on front of frame. Metal Oakley icon accents on side arms.</t>
  </si>
  <si>
    <t>GLINDAR Men's Women's Polarized Aviator Sunglasses Vintage Oversized Square Glasses</t>
  </si>
  <si>
    <t>GLINDAR</t>
  </si>
  <si>
    <t>Bnus italy made classic sunglasses corning real glass lens w. polarized option</t>
  </si>
  <si>
    <t>Natural Glass=Natural Vision By absorbing 85% of visible light and blocking out most of the blue light, the Natural Glass lenses ensure better clarity of vision and remarkable color contrast, providing a more 'natural vision'. Consumers will also like the fact that they are more exceptional scratch resistance than comparable plastics. HD Polarized=Live Glare Free A headache from glare can ruin your day. Golfers have to deal with the performance-killing distraction of glare from water hazards, bunkers and flat areas. Fishing sessions can be futile when blinding rays bounce off water and hide the keepers. Driving in glare can be risky, and road cyclists know how glare can hide potholes and other dangers. Any skier or snowboarder can tell you how glare distracts, diminishes mental focus and drains energy with tension. BINI Optical developed HD Polarized lenses for elite athletes but our technology serves everyone. Because glare doesn’t care if you’re a sport champion, weekend warrior or just someone who enjoys the sun. BINI Optical=Technology+Craftsmanship BINI Optical Manufacturing Co. is a US based leader in the design and manufacturing eyewear and replacement lenses with high technology and quality. Alongside the proprietary brands, the portfolio has over 10 licensed brands, including some of the most well-known names in the global fashion and luxury industries. Each collection, each pair of glasses is the result of an ongoing R&amp;D process which combines passion, innovation and creativity with the latest technology and master craftsmanship. About BINI OPTICS BNUS designs and realizes high performance exclusive sunglasses, optimizing safety and performance to meet the uncompromising demands of all our costumers who ask and want only the best quality is our number one concern, especially when it comes to sunglasses, which are so vital to eye health.</t>
  </si>
  <si>
    <t>ATTCL Men's Driving Polarized Sunglasses For Men - Al-Mg Metal Frame Ultra Light</t>
  </si>
  <si>
    <t>Oakley Men's Oo9213 M Frame 2.0 Industrial Rectangular Sunglasses</t>
  </si>
  <si>
    <t>The Oakley SI M Frame 2.0 Industrial meets ANSI Z87.1 Industrial Standards for high-mass and high-velocity impact protection. The M Frame 2.0 additionally meets MIL SPEC MIL-PRF 31013. All lenses are made of pure Plutonite® a proprietary material that offers the highest level of optical clarity available in eyewear. It also features a clip that holds the lens and frame together providing more secure support. Oakley products sold by authorized sellers, like Amazon.com, are eligible for all manufacturer warranties and guarantees. Visit the Oakley shop by clicking on the brand link above to shop the entire Oakley assortment.</t>
  </si>
  <si>
    <t>A｜X ARMANI EXCHANGE Men's Ax4049sf Low Bridge Fit Square Sunglasses</t>
  </si>
  <si>
    <t>Young and contemporary, A|X Armani Exchange sunglasses redefine the essentials of Armani style through a sophisticated use of urban style. These Armani Exchange AX4049SF Asian fit, also called alternative fit, men's sunglasses feature a square frame with a classic bridge, slim two-tone temples embellished with the Armani Exchange logo and solid lenses. Alternative fit frames have a specially designed bridge for those with higher cheekbones and wider nose bridges ensuring the frames rest on the nose and prevent sliding. The lenses on the AX4049SF sunglasses are scratch resistance and are coated with 100% UV protection to protect your eyes from harmful UV rays. Each pair of A|X Armani Exchange sunglasses come with a sunglass case and cleaning cloth to clean, protect and store your sunglasses. A|X Armani Exchange sunglasses sold by authorized sellers, like Amazon..</t>
  </si>
  <si>
    <t>Ray-Ban RB3478 Rectangular Sunglasses</t>
  </si>
  <si>
    <t>Modern design and utility combine effortlessly in this Black Forest 2.0 Shell 3L 15K Pant. Our ski pants feature FN DRY 15K fabrication, hydrophilic lamination, a durable water-repellent treatment that provides outstanding warmth and moisture management, and articulated knees to offer extended mobility. An adjustable waistband in our waterproof pants adds added comfort, and zippered cuffs and snow gaiters deliver snow protection. It’s finished with a zippered ventilation system and three watertight pockets. What we do is sacred to us. The passion we have for sports, technology, innovation, service, and unconventional thinking unites us and enables us to do our best work. We surround ourselves with people who bring that same intensity and excitement to the work they do. We ensure our manufacturing facilities meet all of Oakley’s rigorous and uncompromising standards to allow us to achieve the highest possible level of quality. We consistently monitor production and regularly test components to ensure products made in our facilities continue to earn the right to bear the Oakley icon. If it’s not good enough for the world’s best, it’s not good enough. That goes for each and every product we make, no matter where we make it.</t>
  </si>
  <si>
    <t>ENTHYI Rimless Star shape Sunglasses Personality Sun Glasses for women/men Party glasses personality pentagram eyewears</t>
  </si>
  <si>
    <t>ENTHYI</t>
  </si>
  <si>
    <t>ACBLUCE Mens Aviator Sunglasses 53mm TAC Polarized Lense Military Style Metal Frame with Bayonet Temples</t>
  </si>
  <si>
    <t>ACBLUCE</t>
  </si>
  <si>
    <t>Oakley Men's Oo9188 Flak 2.0 XL Rectangular Sunglasses</t>
  </si>
  <si>
    <t>The XL edition of the Oakley Flak 2.0 sunglasses offers a standard size frame with enhanced lens coverage, and every millimeter of the peripheral view is optimized with High Definition Optics in a durable yet lightweight design that takes performance to the next level and brings style along for the ride. Essential gear for competition, the Oakley Flak 2.0 XL Sunglasses have a 8.75 base lens curvature for protection against sun, wind and impact, and patented XYZ Optics maintains clarity along the full curve while you push your limits with the comfort and secure grip of Unobtainium . Oakley created an array of lens/frame combinations so you can choose options including the glare-cutting power of Polarized optics, the balanced light transmission of Iridium lens coatings, and Prizm lens technology that fine-tunes vision by emphasizing colors where the eye is most sensitive to detail. Oakley was created for world-class athletes, those who see the limits of possibility as just another challenge. Their dedication drives the brand to look beyond the conventional ideas of industry standards. It's in Oakley's DNA to identify problems, create inventions, and wrap those inventions in art. And simply to make things better than anyone thought possible. D</t>
  </si>
  <si>
    <t>Polarized Glasses for Men &amp; Women – Night Vision/Sun Glasses With PC, Rubber Frame &amp; REVO Coating Sports Sunglasses</t>
  </si>
  <si>
    <t>Optix 55</t>
  </si>
  <si>
    <t>Maui Jim Men's Pailolo Polarized Rectangular Sunglasses</t>
  </si>
  <si>
    <t>Maui Jim</t>
  </si>
  <si>
    <t>The channel between Maui and Molokai, Pailolo, is known for its rough sea conditions, appealing to only the most experienced water-athletes. This style inspires a similar sense of confidence and endurance, with its quintessential lightweight rectangular framework. Showcasing a subtle wrap and patented PolarizedPlus2® lenses, Pailolo offers unparalleled protection in vibrant color for your active lifestyle.</t>
  </si>
  <si>
    <t>Locs Men's Rectangular Hardcore Wrap 63mm Sunglasses (Matte Black Rubberized Finished)</t>
  </si>
  <si>
    <t>These Locs hardcore wrap sunglasses feature smoke lenses and a resin frame.</t>
  </si>
  <si>
    <t>JOOX Polarized Aviator Sunglasses for Women Men, UV400 Protection Lens and Lightweight Metal Pilot Frame</t>
  </si>
  <si>
    <t>JOOX</t>
  </si>
  <si>
    <t>2020 VentiVenti Men’s Classic Style Square Polarized Sunglasses Plastic Lightweight Eyewear UV Protection For Driving</t>
  </si>
  <si>
    <t>2020 VentiVenti</t>
  </si>
  <si>
    <t>DUBERY Mens Oversized Aviator Sunglasses Classic Large Polarized Lens Shades D103</t>
  </si>
  <si>
    <t>DUBERY</t>
  </si>
  <si>
    <t>Gucci GG 0010 S- 001 BLACK/GREY Sunglasses,male, 58-16-145</t>
  </si>
  <si>
    <t>Gucci</t>
  </si>
  <si>
    <t>Gucci Sunglasses. Series number: GG0010S. Color code: 001. Size: 58. Shape: Square. Lens Width: 58 mm. Lens Bridge: 16 mm. Arm Length: 145 mm. 100% UV Protection. Non-Polarized. Frame Material: Acetate. Frame Color: Black. Lenses Type: Grey. Rim Style: Full-Rim. UPC/EAN code: 889652047560. Gucci Grey Square Men's Sunglasses GG0010S 001 58.</t>
  </si>
  <si>
    <t>DUCO Men's Sports Polarized Driving Carbon Fiber Sunglasses for Men UV400 Protection DC8277</t>
  </si>
  <si>
    <t>Ray-Ban RB3364 Metal Polarized Rectangular Sunglasses</t>
  </si>
  <si>
    <t>RB3364 Rectangular Metal Sunglasses feature a sporty metal frame and small rectangular lenses. To protect your eyes from harmful UV rays, these sunglasses include lenses that are coated with 100% UV protection. They are also prescription ready. Ray-Ban is the world's most iconic eyewear brand and is a global leader in its sector. Every model in the Ray-Ban collection is the product of meticulous, original styling that translates the best of the latest fashion trends into an ever-contemporary look for millions of Ray-Ban wearers around the world. From the early Aviator style that emerged in 1937 to the introduction of the classic Wayfarer in 1952, Ray-Ban is a brand that embodies America and adventure, great cities and wide-open spaces, heroism, individuality, and authenticity. Starting with a silver screen debut in 1961, Ray-Ban sunglasses have appeared throughout hundreds of films and have been a favorite on the Hollywood scene for years, both on and off the screen. With timeless and imaginative styles, Ray-Ban consistently blends high-tech design, lenses, and materials. The collection remains true to its classic heritage while continuously evolving to meet today's fashion demands.</t>
  </si>
  <si>
    <t>Fayoh Naomi Rectangular Sunglasses Classic Retro Metal Frame Small Size UV400 UV Protection For Men And Women</t>
  </si>
  <si>
    <t>Fayoh</t>
  </si>
  <si>
    <t>ShadyVEU Super Dark Black Sunglasses UV Protection Lens Spring Hinge 80s Vintage Retro Inspired Shades</t>
  </si>
  <si>
    <t>SHEEN KELLY Retro Thick Rectangle Chunky Sunglasses Women Men Trendy Square Black Shades Tortie Frame Fashion 90s Glasses</t>
  </si>
  <si>
    <t>Lacoste Men's L177s Aviator Sunglasses</t>
  </si>
  <si>
    <t>Lacoste</t>
  </si>
  <si>
    <t>This up-to-date pilot shape features the iconic lasered pique pattern on top bar and temples, making them unmistakably Lacoste. The Lacoste logo is lasered on the lens for an elegant look. polarized lenses cut glare and provide ultimate protection for your eyes. The flex hinge and adjustable nose pads enhance comfort and provide universal fit. Sunglasses can be fitted for a prescription lens.</t>
  </si>
  <si>
    <t>Nitrogen Men's Rectangular Sports Wrap 65mm Polarized Sunglasses</t>
  </si>
  <si>
    <t>Nitrogen</t>
  </si>
  <si>
    <t>These Nitrogen sunglasses come equipped with polarized lenses making them an ideal choice for blocking the glare of the hot summer sun!</t>
  </si>
  <si>
    <t>Ray-Ban RB2140 Original Wayfarer Polarized Square Sunglasses</t>
  </si>
  <si>
    <t>The Ray-Ban RB2140 Original Wayfarer is iconic, fashionable, comfortable, and highly protective against harmful UV light. These unisex sunglasses are available in polarized and non-polarized options, reduce eye strain, and improve visibility during glaring light conditions. Ray-Ban sunglasses are made from superior materials, and Wayfarers are no exception. RB2140 unisex Wayfarer frames are made from durable acetate, meaning that they are lightweight and hold up against frequent use. Our Wayfarer sunglasses are available in a variety of lens colors and treatments and are prescription ready.Ray-Ban allows you to choose from a rainbow of frame colors including, classic black or tortoise frames. These Ray-Ban glasses are designed to offer an easy fit with a high level of visual clarity and protection. The glass lenses help protect your eyes against harmful UV rays and have been coated with 100% UV protection. Ray-Ban glasses are comprised of precision-cut lenses that reduce eye strain when worn.Ray-Ban is the world’s most iconic eyewear brand and is a global leader in its sector. Every model in the Ray-Ban collection is the product of meticulous, original styling that translates the best of the latest fashion trends into an ever-contemporary look for millions of Ray-Ban wearers around the world. From the early Aviator style that emerged in 1937 to the introduction of the classic Wayfarer in 1952, Ray-Ban is a brand that embodies America, adventure, great cities, wide-open spaces, heroism, individuality, and authenticity.</t>
  </si>
  <si>
    <t>Pro Acme Small Round Polarized Sunglasses for Men Women Circle Retro Shades Metal Hippie Sunglasses UV400</t>
  </si>
  <si>
    <t>Pro Acme</t>
  </si>
  <si>
    <t>SA106 Oversize Large Thin Plastic Racer Mens Sport Sunglasses</t>
  </si>
  <si>
    <t>SA106</t>
  </si>
  <si>
    <t>TIANYESY Polarized Sunglasses Men Womens Trendy Retro Sports Rectangular Wrap Around Vintage Shot Shield</t>
  </si>
  <si>
    <t>TIANYESY</t>
  </si>
  <si>
    <t>LINVO Polarized Sunglasses for Men and Women,Driving Fishing Golf HD UV400 Shades</t>
  </si>
  <si>
    <t>Oakley Men's Sutro Rectangular Sunglasses</t>
  </si>
  <si>
    <t>Sporty and sleek, the Oakley Sutro Prizm Sunglasses take our cycling game to the next level. Sporty and sleek, the Oakley Sutro Prizm Sunglasses take our cycling game to the next level. Inspired by our urban commute—and joy rides—these high-performance shades are part of Oakley's Latitude collection, which seamlessly blends lifestyle with sport. The cylindrical lens delivers a wide field of view, with a high-wrap shield for high speeds and the color-popping science of Oakley's Prizm technology.Active shades from Oakley that blends lifestyle with sportWide field of view great for group rides and u</t>
  </si>
  <si>
    <t>SIPLION Men's Polarized Sunglasses Sports Glasses for Cycling Fishing Golf TR90 Superlight Frame</t>
  </si>
  <si>
    <t>SIPLION</t>
  </si>
  <si>
    <t>BIRCEN Mens Polarized Sunglasses UV-Protection: Carbon Fiber Sport Black Shades for Men Driving Fishing</t>
  </si>
  <si>
    <t>Ray-Ban Men's RB3519 Aviator Sunglasses</t>
  </si>
  <si>
    <t>SOJOS Polarized Sunglasses for Men Women Retro Aviator Square Goggle Classic Alloy Frame HERO SJ1126</t>
  </si>
  <si>
    <t>Luxtude Sunglasses Fit Over Glasses for Men &amp; Women,Wrap Around Sunglasses Polarized for Day &amp; Night, 100% UV Protection</t>
  </si>
  <si>
    <t>Luxtude</t>
  </si>
  <si>
    <t>URUMQI Polarized Sunglasses Fit Over Glasses for Men Women, Oversized Square Sun Glasses UV400 Protection Shades</t>
  </si>
  <si>
    <t>URUMQI</t>
  </si>
  <si>
    <t>URUMQI Polarized Sunglasses are specifically designed for those who wear prescription glasses.Large frame and wide temples provide more coverage to prevent glare, perfect for driving, fishing, playing golf, running, etc.➤HD Polarized Sunglasses Provide UV400 Protection√UV400 Protection: UV400 protection is the highest level of protection that a lens can have. It is considered to provide close to 100% protection against harmful ultraviolet rays√HD Polarized: Specially add polarized coatings to reduce the annoying glare reflected from roads, snow, water and other horizontal surfaces, making the views clear without dazzling➤Wrap-around Sunglasses Fit Over Prescription Glasses√ Polarized Sunglasses can be worn directly on existing glasses, saving many troubles for those who have to wear prescription glasses√ Ergonomic wrap-around design and large square lens provides comprehensive glare protection, relieve eye fatigue and reduce the risk of driving➤Lightweight &amp; Flexible TR90 Frame Ensures Durability√TR90 is a kind of memory polymer material, which is the most popular ultra-light frame material in the world√Durable materials with super toughness can withstand high impact from outdoor sports and avoid damage to eyes and face due to frame fracture and frictionWhether URUMQI Polarized Sunglasses Fit Over Your Prescription Glasses?1. Measure the widest part of your prescription frames left to right, this is the “width”. Next measure the height of the lens with the frame included.2. Make sure the URUMQI frame is slightly larger in width and height than your frame measurements.Package Includes:1 * Fitovers Sunglasses1 * Polarized Test Card1 * Microfiber Cleaning Cloth1 * Microfiber Glasses Pouch</t>
  </si>
  <si>
    <t>BluBlocker, Demi-Tortoise Original Aviator Sunglasses with Scratch Resistant Lens | Blocks 100% of Blue Light and UVA &amp; UVB Rays | Retro | Gender Neutral - for Men, Women &amp; Everyone | 2725K |</t>
  </si>
  <si>
    <t>Take a trip back to the old school with the original stylish and affordable world-famous BluBlocker™ Aviators in Demi-Tortoise nylon.We’ve sold millions of pairs of these classic, authentic BluBlockers™ over the years, and they continue to be one of the most popular pairs of sunglasses in the world.With exceptional visual clarity and sharpness, ultra-light construction, and superior comfort, the ultimate classic BluBlocker sunglasses are great for blocking the sun during summer fun or looking like a champ while you’re out on the town.Block harmful ultraviolet rays and experience unparalleled crisp, clear vision and guaranteed freshness with these vintage Demi-Tortoise nylon BluBlockers™.• Composite lens• Plastic frame• Non-Polarized• Lens width: 76.2 millimeters• Lens Height: 41.1 millimeters• Frame Height: 41.1 millimeters• Frame Width 137.7 millimeters• Clean lenses with included lens cloth and included case =• Iconic Blublocker logo</t>
  </si>
  <si>
    <t>Maui Jim Men's and Women's Breakwall Polarized Rimless Sunglasses</t>
  </si>
  <si>
    <t>The Breakwall polarized rimless sunglasses from Maui Jim are the top of the line when it comes to unmatched comfort and luxurious versatility. Available with multiple lens color options to keep your view clear and glare free no matter what your activity level is.</t>
  </si>
  <si>
    <t>KastKing Kateel Polarized Sport Sunglasses for Men and Women, Ideal for Driving Fishing Cycling and Running,UV Protection</t>
  </si>
  <si>
    <t>GLINDAR Polarized Shield Sunglasses for Men, Oversized Square Flat Top Sports Glasses</t>
  </si>
  <si>
    <t>DUCO Polarized Sunglasses for Men Vintage Aluminum Frame Retro Sports Sun Glasses Driving Shades 100% UV Protection 8207</t>
  </si>
  <si>
    <t>Bircenpro Polarized Fit Over Sunglasses: Wrap Around Over Glasses Sunglass for Men Women UV Protection</t>
  </si>
  <si>
    <t>Bircenpro</t>
  </si>
  <si>
    <t>Ray-Ban RB3267 Metal Aviator Sunglasses</t>
  </si>
  <si>
    <t>Armani Exchange Man Sunglasses Matte Black Frame, Mirror Black Lenses, 57MM</t>
  </si>
  <si>
    <t>KIOYTLIK Trendy Polarized Aviator Sunglasses for Men Women Classic Sunglasses, UV400 Protection Mirror Lens, Fashion Vintage</t>
  </si>
  <si>
    <t>KIOYTLIK</t>
  </si>
  <si>
    <t>RIVBOS Polarized Sports Sunglasses Driving shades For Men Women TR90 Unbreakable Frame RBS861</t>
  </si>
  <si>
    <t>Ray-Ban Rb3548n Hexagonal Flat Lens Sunglasses</t>
  </si>
  <si>
    <t>Geometrical shapes were key in the 1990s when glasses constructions became more daring and expressive. The Hexagonal frames are straight from the 90s and back in our hearts. Classic but never dull, retro but never out of touch. The RB3548N Hexagonal Flat Lens sunglasses are the perfect combination of a circle and a square shape. They feature thin coined profiles with super thin temples. Available in a variety of frame and lens combinations from silver to gunmetal frames and solid, gradient, or polarized lenses. Ray-Ban sunglasses sold by authorized sellers, like Amazon, are eligible for all manufacturer warranties and guarantees. Click on the Ray-Ban link above the product title to shop the entire Ray-Ban sunglass and eyeglass assortment.</t>
  </si>
  <si>
    <t>TIANYESY Y2K Sunglasses for Women Men Fashion Visor Sun Glasses Stylish Square Designer Shades</t>
  </si>
  <si>
    <t>FEISEDY Fashion Square Aviator Sunglasses Women Men Trendy Retro Metal Frame Sun Glasses Candy Color Lens B1036</t>
  </si>
  <si>
    <t>Cindeer 6 Pairs Men's Polarized Sunglasses Wrap Around Sunglasses Sports Sunglasses UV Protection Sun Glasses for Hiking</t>
  </si>
  <si>
    <t>Cindeer</t>
  </si>
  <si>
    <t>Oakley Men's Oo9101 Batwolf Rectangular Sunglasses</t>
  </si>
  <si>
    <t>The Oakley Batwolf is designed with a single continuous lens set in a comfortably lightweight O Matter frame. Each pair of Batwolf sunglasses sport Oakley's famous Plutonite lenses that block 100% of all UVA, UVB, UVC and harmful blue light up to 400mm as well as a three-point fit system designed to eliminate pressure points for comfort and everyday wear. Two interchangeable metal icons are included to change the look of your Batwolf in seconds.</t>
  </si>
  <si>
    <t>Foster Grant, mens, Backstop Wrap Polarized Sunglasses, Black/Black, 150 mm</t>
  </si>
  <si>
    <t>Foster Grant</t>
  </si>
  <si>
    <t>Designed in a sporty wrap the Foster Grant backstop men’s polarized sunglass feature rubberized temple and nose piece providing extra comfort and stability so that you can enjoy an active lifestyle and ensure your sunglasses will stay in place during all your activities.</t>
  </si>
  <si>
    <t>URUMQI Sunglasses Fit Over Glasses, Polarized 100% UV Protection Wrap-around Sunglasses for Men &amp; Women Driving</t>
  </si>
  <si>
    <t>➤HD Polarized Sunglasses Provide UV400 Protection√UV400 Protection: UV400 protection is the highest level of protection that the lens can have. It is considered to provide close to 100% protection against harmful ultraviolet rays√HD Polarized: Specially add polarized coatings to reduce the annoying glare reflected from roads, snow, water and other horizontal surfaces, making the views more clear without dazzling➤Wrap-around Sunglasses Fit Over Prescription Glasses√ Polarized Sunglasses can be worn directly on existing glasses, saving many troubles for those who have to wear prescription glasses√ Ergonomic wrap-around design and little side lenses provide comprehensive glare protection, relieve eye fatigue and enhance vision, reduce the risk of driving➤Lightweight &amp; Flexible TR90 Frame Ensures Durability√TR90 is a kind of memory polymer material, which is the most popular ultra-light frame material in the world√Durable materials with super toughness can withstand high impact during outdoor sports and avoid damage to eyes and face due to frame fracture and frictionWhether URUMQI Polarized Sunglasses fit over your prescription glasses?1. Measure the widest part of your prescription frames left to right, this is the “width”. Next measure the height of the lens with the frame included.2. Make sure the URUMQI frame is slightly larger in width and height than your frame measurements:If your full-frame width is less than 5.59 inches and frame height is less than 1.57 inches, our sunglasses may fit your prescription glasses well;If your full-frame width is longer than 5.59 inches OR frame height is larger than 1.57 inches, please DON'T buy them!Package Includes:1 * Fitovers Sunglasses1 * Polarized Test Card1 * Microfiber Cleaning Cloth1 * Microfiber Glasses Pouch</t>
  </si>
  <si>
    <t>Costyle Retro Polarized Clip on Flip up Plastic Sunglasses Driving Fishing Traveling</t>
  </si>
  <si>
    <t>Costyle</t>
  </si>
  <si>
    <t>The Polarized Clip will give you better view when you driving, fishing and other outdoor activities.   Features:  1.100% U.V. Protection  2.Brand :Careview  3.Fashion lenses  4.Product Dimensions: 142X66X50MM.  5.Metal frame,New lower profile squeeze to open clip  6.Legs have soft rubber to protect ophthalmic lenses and prevent shifting and scratching  7.For People who wear glasses When Driving or Fishing  8.Gender:Unisex   Note: Only the glasses Cilp, Not include The Glasses</t>
  </si>
  <si>
    <t>ARNETTE An4202 Fastball Rectangular Sunglasses</t>
  </si>
  <si>
    <t>ARNETTE</t>
  </si>
  <si>
    <t>Arnette's AN4202 Fastball Rectangular Sunglasses combine angular lines with wide temples in a classic wrap frame. The Arnette Fastball's wrap design provides maximum sun protection as each pair provides 100% UV protection from all harmful UV rays, including UVA and UVB ray. In 1992, Arnette was founded on the principle that doing things your own way is not only the right way, it’s the only way. Created in the humble surroundings of a one-car garage in Orange County, California, Arnette is now a global streetstyle brand. With the mission of creating stylish eyewear, Arnette fuses exceptional design and quality with bold attitude.</t>
  </si>
  <si>
    <t>A｜X ARMANI EXCHANGE Men's Ax2034s Aviator Sunglasses</t>
  </si>
  <si>
    <t>Framing the athletic mood of the AX apparel collection, a top performer geometric temple highlights the fast-lane look of 3 dynamic new AX protagonists with bright neon accents and diagonal lines. 100% UV PROTECTION: To protect your eyes from harmful UV rays, these Armani Exchange sunglasses include lenses that are coated with 100% UV protection. MULTIPLE FRAME AND LENS COLORS: Choose from multiple frame colors, lens colors and lens treatments. Find a color combination that fits your personal brand and style. CASE &amp; CLEANING CLOTH INCLUDED: Each pair of Armani Exchange eyewear come with a cleaning cloth and case to clean and protect your eyewear from scratches and damage. LIMITED WARRANTY INCLUDED: Armani Exchange eyewear sold by authorized sellers, like Amazon, are eligible for all manufacturer warranties and guarantees. VISIT THE ARMANI EXCHANGE BRAND SHOP: Click on the Arnette link above the product title to shop the entire Armani Exchange sunglass and eyeglass assortment.</t>
  </si>
  <si>
    <t>SA106 Mens Retro Vintage Narrow Rectangular Pimp Metal Sunglasses</t>
  </si>
  <si>
    <t>Dockers Men's Gavin Sunglasses Polarized Wrap, Black, 57mm</t>
  </si>
  <si>
    <t>Feel comfortable during sports and active adventures with these Docker’s men’s wrap-style sunglasses. The rubberized matte black frame is so light and easy-to-wear that you might forget that you’re wearing them. The green smoke lenses are polarized to reduce glare and give 100% UVA-UVB lens protection.</t>
  </si>
  <si>
    <t>SUNGAIT Polygon Aviator Sunglasses for Men Polarized Trendy Square Sun Glasses Retro Pilot Shades UV Protection</t>
  </si>
  <si>
    <t>Ray-Ban Rb4171 Erika Round Sunglasses</t>
  </si>
  <si>
    <t>Modern classics with an open-minded personality. Thanks to its simple and timeless design, Erika is one of the most popular and loved model across the world. The RB4171 Erika offers an easy to wear roundish style. It will be your life accomplice guiding you from your morning shower to happy hour without a hitch. Available in a variety of colors with solid, gradient or polarized lenses. Ray-Ban sunglasses sold by authorized sellers, like Amazon, are eligible for all manufacturer warranties and guarantees. Click on the Ray-Ban link above the product title to shop the entire Ray-Ban sunglass and eyeglass assortment.</t>
  </si>
  <si>
    <t>KANASTAL Round Sunglasses Polarized for Men Women Steampunk Retro Metal Classic Hippie Style Circle UV400 Protection</t>
  </si>
  <si>
    <t>KANASTAL</t>
  </si>
  <si>
    <t>Metric</t>
  </si>
  <si>
    <t>count</t>
  </si>
  <si>
    <t>mean</t>
  </si>
  <si>
    <t>median</t>
  </si>
  <si>
    <t>stdev</t>
  </si>
  <si>
    <t>min</t>
  </si>
  <si>
    <t>max</t>
  </si>
  <si>
    <t>Field</t>
  </si>
  <si>
    <t>Value</t>
  </si>
  <si>
    <t>Dependent variable (Y)</t>
  </si>
  <si>
    <t>Independent variables (X)</t>
  </si>
  <si>
    <t>price, rating</t>
  </si>
  <si>
    <t>Price coefficient (b_price)</t>
  </si>
  <si>
    <t>Rating coefficient (b_rating)</t>
  </si>
  <si>
    <t>Is b_price significant at α=0.05? (Yes/No)</t>
  </si>
  <si>
    <t>Is b_rating significant at α=0.05? (Yes/No)</t>
  </si>
  <si>
    <t>Adjusted R-squared</t>
  </si>
  <si>
    <t>Interpretation (2–3 sentences)</t>
  </si>
  <si>
    <t>Item</t>
  </si>
  <si>
    <t>Median price (enter in a cell below and use to form groups)</t>
  </si>
  <si>
    <t>Group means: rating | high_price=1</t>
  </si>
  <si>
    <t>Group means: rating | high_price=0</t>
  </si>
  <si>
    <t>t statistic (two-sample)</t>
  </si>
  <si>
    <t>p value (two-tailed)</t>
  </si>
  <si>
    <t>Conclusion at α = 0.05</t>
  </si>
  <si>
    <t>One-sentence interpretation</t>
  </si>
  <si>
    <t>Sunglasses Stats Exercise (Spreadsheet) — Instructions</t>
  </si>
  <si>
    <t>Tabs to complete: Summary, Regression, Hypothesis.</t>
  </si>
  <si>
    <t>Data_Clean is provided; you may add helper columns.</t>
  </si>
  <si>
    <t>1) Summary:</t>
  </si>
  <si>
    <t xml:space="preserve">   • Add ln_reviews = LN(1+reviews) if not present.</t>
  </si>
  <si>
    <t xml:space="preserve">   • Build summary table for price, rating, reviews, ln_reviews using COUNT, AVERAGE, MEDIAN, STDEV.S, MIN, MAX.</t>
  </si>
  <si>
    <t xml:space="preserve">   • Insert histograms for price and rating (label axes).</t>
  </si>
  <si>
    <t>2) Correlations (on Summary):</t>
  </si>
  <si>
    <t xml:space="preserve">   • CORREL(price, rating); CORREL(rating, ln_reviews).</t>
  </si>
  <si>
    <t>3) Regression (on Regression):</t>
  </si>
  <si>
    <t xml:space="preserve">   • Y = ln_reviews; X = price and rating (Excel: Data → Data Analysis → Regression).</t>
  </si>
  <si>
    <t xml:space="preserve">   • Record coefficients, p-values, Adjusted R²; interpret briefly.</t>
  </si>
  <si>
    <t>4) Hypothesis (on Hypothesis):</t>
  </si>
  <si>
    <t xml:space="preserve">   • Compute median(price) and create high_price = 1 if price ≥ median, else 0 (helper column).</t>
  </si>
  <si>
    <t xml:space="preserve">   • Two-sample t-test of rating between groups (T.TEST ranges, two-tailed).</t>
  </si>
  <si>
    <t xml:space="preserve">   • Record p-value and state conclusion at α = 0.05.</t>
  </si>
  <si>
    <t>Deliverable: Submit this workbook with all three tabs completed.</t>
  </si>
  <si>
    <t>Grading: See the 'Grading_Rubric' tab (Total: 40 points).</t>
  </si>
  <si>
    <t>Criterion</t>
  </si>
  <si>
    <t>What we’re looking for</t>
  </si>
  <si>
    <t>Points</t>
  </si>
  <si>
    <t>Data Cleaning &amp; Derived Fields</t>
  </si>
  <si>
    <t>Numeric typing for price/rating/reviews; USD-only rows kept; ln_reviews created; helper columns as needed.</t>
  </si>
  <si>
    <t>Summary Table (4 variables × 6 stats)</t>
  </si>
  <si>
    <t>Correct COUNT, AVERAGE, MEDIAN, STDEV.S, MIN, MAX for price, rating, reviews, ln_reviews.</t>
  </si>
  <si>
    <t>Histograms (Price &amp; Rating)</t>
  </si>
  <si>
    <t>Two histograms inserted and labeled with clear axes and titles.</t>
  </si>
  <si>
    <t>Correlations + Interpretation</t>
  </si>
  <si>
    <t>CORREL(price, rating) and CORREL(rating, ln_reviews) with 1–2 sentence interpretations.</t>
  </si>
  <si>
    <t>Regression Outputs</t>
  </si>
  <si>
    <t>Y=ln_reviews; X=price, rating; coefficients and p-values recorded; Adjusted R² reported.</t>
  </si>
  <si>
    <t>Hypothesis Test (Two-sample t)</t>
  </si>
  <si>
    <t>Median split into high_price; t-test on rating; p-value and conclusion at α=0.05.</t>
  </si>
  <si>
    <t>Clarity &amp; Formatting</t>
  </si>
  <si>
    <t>Tabs labeled; numbers formatted; brief, professional writing.</t>
  </si>
  <si>
    <t>Total</t>
  </si>
  <si>
    <t>Ln_reviews</t>
  </si>
  <si>
    <t>Price vs rating</t>
  </si>
  <si>
    <t>Rating vs Ln_reviews</t>
  </si>
  <si>
    <t>Q5</t>
  </si>
  <si>
    <t xml:space="preserve">any additional reviews </t>
  </si>
  <si>
    <t>Price</t>
  </si>
  <si>
    <t>Rating</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</si>
  <si>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</si>
  <si>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</si>
  <si>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</si>
  <si>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</si>
  <si>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</si>
  <si>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</si>
  <si>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</si>
  <si>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</si>
  <si>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</si>
  <si>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</si>
  <si>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</si>
  <si>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</si>
  <si>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</si>
  <si>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</si>
  <si>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</si>
  <si>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</si>
  <si>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</si>
  <si>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</si>
  <si>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</si>
  <si>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</si>
  <si>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</si>
  <si>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</si>
  <si>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</si>
  <si>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t crit</t>
  </si>
  <si>
    <t>f crit</t>
  </si>
  <si>
    <t xml:space="preserve">Holding rating constant, a $1 increase in price is associated with </t>
  </si>
  <si>
    <t>about 0.56% fewer expected reviews (log≈percent rule). This</t>
  </si>
  <si>
    <t>Q7 b_price</t>
  </si>
  <si>
    <r>
      <t>estimate isn't statistically distinguishable from zero (</t>
    </r>
    <r>
      <rPr>
        <b/>
        <sz val="11"/>
        <color theme="1"/>
        <rFont val="Calibri"/>
        <family val="2"/>
        <scheme val="minor"/>
      </rPr>
      <t>p = 0.428</t>
    </r>
    <r>
      <rPr>
        <sz val="11"/>
        <color theme="1"/>
        <rFont val="Calibri"/>
        <family val="2"/>
        <scheme val="minor"/>
      </rPr>
      <t>)</t>
    </r>
  </si>
  <si>
    <t>Q8 b_rating</t>
  </si>
  <si>
    <t>holding price constant, a 1 star increase in rating is associated</t>
  </si>
  <si>
    <t>with about 55% more expected reviews (log≈percent rule).</t>
  </si>
  <si>
    <r>
      <t>This estimate isn't statistically distinguishable from zero (</t>
    </r>
    <r>
      <rPr>
        <b/>
        <sz val="11"/>
        <color theme="1"/>
        <rFont val="Calibri"/>
        <family val="2"/>
        <scheme val="minor"/>
      </rPr>
      <t>p=0.624</t>
    </r>
    <r>
      <rPr>
        <sz val="11"/>
        <color theme="1"/>
        <rFont val="Calibri"/>
        <family val="2"/>
        <scheme val="minor"/>
      </rPr>
      <t>)</t>
    </r>
  </si>
  <si>
    <t>Q9 Significance at α = 0.05</t>
  </si>
  <si>
    <t xml:space="preserve">Neither coefficient is significant: </t>
  </si>
  <si>
    <r>
      <t>Price (</t>
    </r>
    <r>
      <rPr>
        <b/>
        <sz val="11"/>
        <color theme="1"/>
        <rFont val="Calibri"/>
        <family val="2"/>
        <scheme val="minor"/>
      </rPr>
      <t>p = 0.428</t>
    </r>
    <r>
      <rPr>
        <sz val="11"/>
        <color theme="1"/>
        <rFont val="Calibri"/>
        <family val="2"/>
        <scheme val="minor"/>
      </rPr>
      <t>), Rating (</t>
    </r>
    <r>
      <rPr>
        <b/>
        <sz val="11"/>
        <color theme="1"/>
        <rFont val="Calibri"/>
        <family val="2"/>
        <scheme val="minor"/>
      </rPr>
      <t>p=0.624</t>
    </r>
    <r>
      <rPr>
        <sz val="11"/>
        <color theme="1"/>
        <rFont val="Calibri"/>
        <family val="2"/>
        <scheme val="minor"/>
      </rPr>
      <t>) both are greater than</t>
    </r>
    <r>
      <rPr>
        <b/>
        <sz val="11"/>
        <color theme="1"/>
        <rFont val="Calibri"/>
        <family val="2"/>
        <scheme val="minor"/>
      </rPr>
      <t xml:space="preserve"> 0.05</t>
    </r>
  </si>
  <si>
    <t>Q10 Adjusted R^2</t>
  </si>
  <si>
    <t xml:space="preserve">Adjusted R-squared is ≈ -0.013, indicating essentially </t>
  </si>
  <si>
    <t xml:space="preserve">no explanatory power in this simple two predictor model, a </t>
  </si>
  <si>
    <t xml:space="preserve">very weak fit. </t>
  </si>
  <si>
    <t>NO</t>
  </si>
  <si>
    <t>The overall model is not significant (F p=0.682). Neither price</t>
  </si>
  <si>
    <t xml:space="preserve">(p=0.428) nor rating (p=0.624) is individually significant. </t>
  </si>
  <si>
    <t xml:space="preserve">Adjusted R^2 ≈-0.013, this two-variable regression explains </t>
  </si>
  <si>
    <t xml:space="preserve">virtually none of the variation in ln_reviews. </t>
  </si>
  <si>
    <t>very weak positive correlation, likely not actionable.</t>
  </si>
  <si>
    <t xml:space="preserve">Essentially no relatioinship, higher ratings do not drive additional </t>
  </si>
  <si>
    <t xml:space="preserve">reviews. </t>
  </si>
  <si>
    <r>
      <rPr>
        <b/>
        <sz val="11"/>
        <color theme="1"/>
        <rFont val="Calibri"/>
        <family val="2"/>
        <scheme val="minor"/>
      </rPr>
      <t>Correl(rating,ln_reviews)= 0.0373</t>
    </r>
    <r>
      <rPr>
        <sz val="11"/>
        <color theme="1"/>
        <rFont val="Calibri"/>
        <family val="2"/>
        <scheme val="minor"/>
      </rPr>
      <t xml:space="preserve"> which suggests a very weak positive relationship, higher ratings do not meaningfully drive </t>
    </r>
  </si>
  <si>
    <t>All calculations (summary stats, histograms, correlations, regression) use</t>
  </si>
  <si>
    <t xml:space="preserve">cleaned dataset restricted to USD only rows, per the rubric. Total </t>
  </si>
  <si>
    <t>observations used 100</t>
  </si>
  <si>
    <t>High_price</t>
  </si>
  <si>
    <t>High_price 0</t>
  </si>
  <si>
    <t>High_price 1</t>
  </si>
  <si>
    <t>t-Test: Two-Sample Assuming Equal Variances</t>
  </si>
  <si>
    <t>Mean</t>
  </si>
  <si>
    <t>Variance</t>
  </si>
  <si>
    <t>Pooled Variance</t>
  </si>
  <si>
    <t>Hypothesized Mean Difference</t>
  </si>
  <si>
    <t>P(T&lt;=t) one-tail</t>
  </si>
  <si>
    <t>t Critical one-tail</t>
  </si>
  <si>
    <t>P(T&lt;=t) two-tail</t>
  </si>
  <si>
    <t>t Critical two-tail</t>
  </si>
  <si>
    <t>fail to reject H0(p=0.725&gt;0.05)</t>
  </si>
  <si>
    <t xml:space="preserve">High priced items are rated about the same as low priced </t>
  </si>
  <si>
    <t>items (≈4.45 vs 446) price tier doesn't move ratings</t>
  </si>
  <si>
    <t>Q13</t>
  </si>
  <si>
    <t>doesn’t move ratings.</t>
  </si>
  <si>
    <t>Q14</t>
  </si>
  <si>
    <t xml:space="preserve">one limitation using review count as "popularity": older and </t>
  </si>
  <si>
    <t xml:space="preserve">seasonality, not just true demand. One additional variable </t>
  </si>
  <si>
    <t>could be "age" or days since launch or units sold. This would</t>
  </si>
  <si>
    <t>Higher priced items are rated about the same as lower priced items, price tier</t>
  </si>
  <si>
    <t>more promoted items get more exposure and time for reviews.</t>
  </si>
  <si>
    <t>Results can be biased by platform, placement, ad spend, or</t>
  </si>
  <si>
    <t xml:space="preserve">help analyze  more meaningful insight into the data collected. </t>
  </si>
  <si>
    <t>Special notes of consideration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</si>
</sst>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0" x14ac:knownFonts="1">
    <font>
      <sz val="11"/>
      <color theme="1"/>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
      <sz val="14"/>
      <color theme="1"/>
      <name val="Calibri"/>
      <family val="2"/>
      <scheme val="minor"/>
    </font>
    <font>
      <b/>
      <sz val="14"/>
      <name val="Calibri"/>
      <family val="2"/>
      <scheme val="minor"/>
    </font>
    <font>
      <b/>
      <sz val="18"/>
      <name val="Calibri"/>
      <family val="2"/>
      <scheme val="minor"/>
    </font>
    <font>
      <sz val="11"/>
      <color theme="1"/>
      <name val="Calibri"/>
      <family val="2"/>
      <scheme val="minor"/>
    </font>
    <font>
      <b/>
      <sz val="11"/>
      <color theme="0"/>
      <name val="Calibri"/>
      <family val="2"/>
      <scheme val="minor"/>
    </font>
    <font>
      <i/>
      <sz val="11"/>
      <color theme="1"/>
      <name val="Calibri"/>
      <family val="2"/>
      <scheme val="minor"/>
    </font>
  </fonts>
  <fills count="9">
    <fill>
      <patternFill patternType="none"/>
    </fill>
    <fill>
      <patternFill patternType="gray125"/>
    </fill>
    <fill>
      <patternFill patternType="solid">
        <fgColor rgb="FFDDEEFF"/>
        <bgColor rgb="FFDDEEFF"/>
      </patternFill>
    </fill>
    <fill>
      <patternFill patternType="solid">
        <fgColor theme="6" tint="0.59999389629810485"/>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indexed="64"/>
      </patternFill>
    </fill>
    <fill>
      <patternFill patternType="solid">
        <fgColor rgb="FF92D050"/>
        <bgColor indexed="64"/>
      </patternFill>
    </fill>
    <fill>
      <patternFill patternType="solid">
        <fgColor theme="3" tint="0.79998168889431442"/>
        <bgColor indexed="64"/>
      </patternFill>
    </fill>
  </fills>
  <borders count="14">
    <border>
      <left/>
      <right/>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41">
    <xf numFmtId="0" fontId="0" fillId="0" borderId="0" xfId="0"/>
    <xf numFmtId="0" fontId="2" fillId="0" borderId="0" xfId="0" applyFont="1"/>
    <xf numFmtId="0" fontId="4" fillId="0" borderId="0" xfId="0" applyFont="1"/>
    <xf numFmtId="0" fontId="5" fillId="0" borderId="0" xfId="0" applyFont="1"/>
    <xf numFmtId="0" fontId="3" fillId="3" borderId="0" xfId="0" applyFont="1" applyFill="1"/>
    <xf numFmtId="0" fontId="6" fillId="2" borderId="0" xfId="0" applyFont="1" applyFill="1" applyAlignment="1">
      <alignment horizontal="center"/>
    </xf>
    <xf numFmtId="0" fontId="1" fillId="0" borderId="1" xfId="0" applyFont="1" applyBorder="1" applyAlignment="1">
      <alignment horizontal="center" vertical="top"/>
    </xf>
    <xf numFmtId="0" fontId="0" fillId="4" borderId="2" xfId="0" applyFill="1" applyBorder="1"/>
    <xf numFmtId="0" fontId="0" fillId="4" borderId="3" xfId="0" applyFill="1" applyBorder="1"/>
    <xf numFmtId="0" fontId="0" fillId="5" borderId="2" xfId="0" applyFill="1" applyBorder="1"/>
    <xf numFmtId="0" fontId="0" fillId="5" borderId="3" xfId="0" applyFill="1" applyBorder="1"/>
    <xf numFmtId="0" fontId="0" fillId="4" borderId="4" xfId="0" applyFill="1" applyBorder="1"/>
    <xf numFmtId="0" fontId="0" fillId="5" borderId="4" xfId="0" applyFill="1" applyBorder="1"/>
    <xf numFmtId="44" fontId="0" fillId="0" borderId="0" xfId="1" applyFont="1"/>
    <xf numFmtId="0" fontId="1" fillId="0" borderId="0" xfId="0" applyFont="1" applyAlignment="1">
      <alignment horizontal="center" vertical="top"/>
    </xf>
    <xf numFmtId="0" fontId="1" fillId="0" borderId="0" xfId="0" applyFont="1"/>
    <xf numFmtId="0" fontId="0" fillId="5" borderId="5" xfId="0" applyFill="1" applyBorder="1"/>
    <xf numFmtId="0" fontId="0" fillId="5" borderId="7" xfId="0" applyFill="1" applyBorder="1"/>
    <xf numFmtId="0" fontId="0" fillId="5" borderId="6" xfId="0" applyFill="1" applyBorder="1"/>
    <xf numFmtId="0" fontId="1" fillId="6" borderId="0" xfId="0" applyFont="1" applyFill="1"/>
    <xf numFmtId="0" fontId="8" fillId="6" borderId="0" xfId="0" applyFont="1" applyFill="1"/>
    <xf numFmtId="0" fontId="0" fillId="0" borderId="9" xfId="0" applyBorder="1"/>
    <xf numFmtId="0" fontId="9" fillId="0" borderId="10" xfId="0" applyFont="1" applyBorder="1" applyAlignment="1">
      <alignment horizontal="center"/>
    </xf>
    <xf numFmtId="0" fontId="9" fillId="0" borderId="10" xfId="0" applyFont="1" applyBorder="1" applyAlignment="1">
      <alignment horizontal="centerContinuous"/>
    </xf>
    <xf numFmtId="0" fontId="0" fillId="0" borderId="0" xfId="2" applyNumberFormat="1" applyFont="1" applyFill="1" applyBorder="1" applyAlignment="1"/>
    <xf numFmtId="0" fontId="0" fillId="0" borderId="9" xfId="2" applyNumberFormat="1" applyFont="1" applyFill="1" applyBorder="1" applyAlignment="1"/>
    <xf numFmtId="0" fontId="9" fillId="0" borderId="11" xfId="0" applyFont="1" applyBorder="1" applyAlignment="1">
      <alignment horizontal="center"/>
    </xf>
    <xf numFmtId="0" fontId="0" fillId="0" borderId="12" xfId="0" applyBorder="1"/>
    <xf numFmtId="0" fontId="0" fillId="0" borderId="13" xfId="0" applyBorder="1"/>
    <xf numFmtId="0" fontId="4" fillId="7" borderId="0" xfId="0" applyFont="1" applyFill="1"/>
    <xf numFmtId="2" fontId="1" fillId="0" borderId="1" xfId="0" applyNumberFormat="1" applyFont="1" applyBorder="1" applyAlignment="1">
      <alignment horizontal="center" vertical="top"/>
    </xf>
    <xf numFmtId="2" fontId="0" fillId="0" borderId="0" xfId="0" applyNumberFormat="1"/>
    <xf numFmtId="2" fontId="0" fillId="0" borderId="0" xfId="1" applyNumberFormat="1" applyFont="1"/>
    <xf numFmtId="0" fontId="0" fillId="0" borderId="0" xfId="0" applyAlignment="1">
      <alignment horizontal="center" vertical="top"/>
    </xf>
    <xf numFmtId="0" fontId="1" fillId="0" borderId="0" xfId="0" applyFont="1" applyAlignment="1">
      <alignment horizontal="center"/>
    </xf>
    <xf numFmtId="0" fontId="0" fillId="0" borderId="0" xfId="0" applyAlignment="1">
      <alignment horizontal="center"/>
    </xf>
    <xf numFmtId="0" fontId="0" fillId="8" borderId="0" xfId="0" applyFill="1"/>
    <xf numFmtId="44" fontId="0" fillId="0" borderId="0" xfId="0" applyNumberFormat="1"/>
    <xf numFmtId="164" fontId="0" fillId="0" borderId="0" xfId="0" applyNumberFormat="1"/>
    <xf numFmtId="0" fontId="8" fillId="6" borderId="8" xfId="0" applyFont="1" applyFill="1" applyBorder="1" applyAlignment="1">
      <alignment horizontal="center"/>
    </xf>
    <xf numFmtId="0" fontId="8" fillId="6" borderId="0" xfId="0" applyFont="1" applyFill="1" applyAlignment="1">
      <alignment horizontal="center"/>
    </xf>
  </cellXfs>
  <cellStyles count="3">
    <cellStyle name="Currency" xfId="1" builtinId="4"/>
    <cellStyle name="Normal" xfId="0" builtinId="0"/>
    <cellStyle name="Percent" xfId="2" builtinId="5"/>
  </cellStyles>
  <dxfs count="30">
    <dxf>
      <font>
        <color rgb="FF9C0006"/>
      </font>
      <fill>
        <patternFill>
          <bgColor rgb="FFFFC7CE"/>
        </patternFill>
      </fill>
    </dxf>
    <dxf>
      <font>
        <color rgb="FF9C0006"/>
      </font>
      <fill>
        <patternFill>
          <bgColor rgb="FFFFC7CE"/>
        </patternFill>
      </fill>
    </dxf>
    <dxf>
      <numFmt numFmtId="34" formatCode="_(&quot;$&quot;* #,##0.00_);_(&quot;$&quot;* \(#,##0.00\);_(&quot;$&quot;* &quot;-&quot;??_);_(@_)"/>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dxf>
    <dxf>
      <border outline="0">
        <top style="thin">
          <color auto="1"/>
        </top>
      </border>
    </dxf>
    <dxf>
      <font>
        <b val="0"/>
        <i val="0"/>
        <strike val="0"/>
        <condense val="0"/>
        <extend val="0"/>
        <outline val="0"/>
        <shadow val="0"/>
        <u val="none"/>
        <vertAlign val="baseline"/>
        <sz val="11"/>
        <color theme="1"/>
        <name val="Calibri"/>
        <family val="2"/>
        <scheme val="minor"/>
      </font>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font>
    </dxf>
    <dxf>
      <font>
        <b/>
      </font>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dxf>
    <dxf>
      <border outline="0">
        <left style="thin">
          <color auto="1"/>
        </left>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dxf>
    <dxf>
      <numFmt numFmtId="2" formatCode="0.00"/>
    </dxf>
    <dxf>
      <numFmt numFmtId="2" formatCode="0.0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Histogram of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Price</a:t>
          </a:r>
        </a:p>
      </cx:txPr>
    </cx:title>
    <cx:plotArea>
      <cx:plotAreaRegion>
        <cx:series layoutId="clusteredColumn" uniqueId="{7B935A65-0138-407B-B803-B0360A3CEBE2}" formatIdx="0">
          <cx:tx>
            <cx:txData>
              <cx:f>_xlchart.v1.2</cx:f>
              <cx:v/>
            </cx:txData>
          </cx:tx>
          <cx:dataLabels/>
          <cx:dataId val="0"/>
          <cx:layoutPr>
            <cx:binning intervalClosed="r" underflow="0" overflow="200">
              <cx:binCount val="20"/>
            </cx:binning>
          </cx:layoutPr>
        </cx:series>
      </cx:plotAreaRegion>
      <cx:axis id="0">
        <cx:catScaling gapWidth="0"/>
        <cx:title>
          <cx:tx>
            <cx:txData>
              <cx:v>Price range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Price range </a:t>
              </a:r>
            </a:p>
          </cx:txPr>
        </cx:title>
        <cx:majorTickMarks type="in"/>
        <cx:tickLabels/>
        <cx:numFmt formatCode="$#,##0" sourceLinked="0"/>
      </cx:axis>
      <cx:axis id="1">
        <cx:valScaling max="55"/>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Frequency</a:t>
              </a:r>
            </a:p>
          </cx:txPr>
        </cx:title>
        <cx:majorGridlines/>
        <cx:majorTickMarks type="out"/>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Histogram of Ratings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Histogram of Ratings</a:t>
          </a:r>
        </a:p>
      </cx:txPr>
    </cx:title>
    <cx:plotArea>
      <cx:plotAreaRegion>
        <cx:series layoutId="clusteredColumn" uniqueId="{15B47877-A423-45B1-B537-6823FC31A7EE}" formatIdx="0">
          <cx:dataLabels/>
          <cx:dataId val="0"/>
          <cx:layoutPr>
            <cx:binning intervalClosed="r">
              <cx:binCount val="8"/>
            </cx:binning>
          </cx:layoutPr>
        </cx:series>
      </cx:plotAreaRegion>
      <cx:axis id="0">
        <cx:catScaling gapWidth="0"/>
        <cx:title>
          <cx:tx>
            <cx:txData>
              <cx:v>Ratings range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Ratings range </a:t>
              </a:r>
            </a:p>
          </cx:txPr>
        </cx:title>
        <cx:tickLabels/>
        <cx:numFmt formatCode="#,##0.00" sourceLinked="0"/>
      </cx:axis>
      <cx:axis id="1">
        <cx:valScaling max="30"/>
        <cx:title>
          <cx:tx>
            <cx:txData>
              <cx:v>Frequency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Frequency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19049</xdr:rowOff>
    </xdr:from>
    <xdr:to>
      <xdr:col>6</xdr:col>
      <xdr:colOff>1647825</xdr:colOff>
      <xdr:row>38</xdr:row>
      <xdr:rowOff>161924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D95A278-A576-7414-36E5-34186D88D6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067049"/>
              <a:ext cx="6467475" cy="43338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1743075</xdr:colOff>
      <xdr:row>16</xdr:row>
      <xdr:rowOff>19049</xdr:rowOff>
    </xdr:from>
    <xdr:to>
      <xdr:col>9</xdr:col>
      <xdr:colOff>828675</xdr:colOff>
      <xdr:row>38</xdr:row>
      <xdr:rowOff>180974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7A7E10D-F368-666B-505E-E891DA0247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562725" y="3067049"/>
              <a:ext cx="7353300" cy="43529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49154D-0FAD-4F59-AF84-AF3B0D4CBFB0}" name="Table1" displayName="Table1" ref="A1:H260" totalsRowShown="0" headerRowDxfId="29" headerRowBorderDxfId="28" tableBorderDxfId="27">
  <autoFilter ref="A1:H260" xr:uid="{2C49154D-0FAD-4F59-AF84-AF3B0D4CBFB0}">
    <filterColumn colId="4">
      <customFilters>
        <customFilter operator="greaterThan" val="0"/>
      </customFilters>
    </filterColumn>
  </autoFilter>
  <tableColumns count="8">
    <tableColumn id="1" xr3:uid="{FD6406FD-4C90-4ADA-B02D-A75ABD893CAA}" name="title"/>
    <tableColumn id="2" xr3:uid="{42BAFBB6-FC1E-4726-9668-FDCE18915398}" name="brand"/>
    <tableColumn id="3" xr3:uid="{0CAACDD8-2B83-4662-ABBB-8ECD8EC79212}" name="description"/>
    <tableColumn id="4" xr3:uid="{8BF0C1EC-E4EE-4463-B9D6-E005980EAFD2}" name="currency"/>
    <tableColumn id="5" xr3:uid="{9ACBFBB3-7524-4A16-8FAD-C102F4A84B75}" name="price" dataDxfId="26"/>
    <tableColumn id="6" xr3:uid="{F7A42270-B32E-4D7D-9C52-EC211AE7B9CD}" name="rating" dataDxfId="25"/>
    <tableColumn id="7" xr3:uid="{462EB26B-1735-4CB4-87C4-2D34420057B8}" name="reviews" dataDxfId="24"/>
    <tableColumn id="8" xr3:uid="{53A5B93B-AFCC-4CAC-8E43-0D5BC49E064C}" name="ln_review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EAA1E3-2802-4AE3-BCDE-95DD8B3E80E3}" name="Table4" displayName="Table4" ref="G1:G3" totalsRowShown="0" headerRowDxfId="23" dataDxfId="22" tableBorderDxfId="21">
  <autoFilter ref="G1:G3" xr:uid="{A4EAA1E3-2802-4AE3-BCDE-95DD8B3E80E3}"/>
  <tableColumns count="1">
    <tableColumn id="1" xr3:uid="{0FCA0086-0739-4F2F-A1A0-EC7122B63F17}" name="Price vs rating" dataDxfId="20">
      <calculatedColumnFormula>CORREL(Regression!E:E,Regression!F:F)</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FDDBA26-CEA3-46CF-B880-EBE9FAB7851B}" name="Table5" displayName="Table5" ref="I1:I4" totalsRowShown="0" headerRowDxfId="19" dataDxfId="18">
  <autoFilter ref="I1:I4" xr:uid="{FFDDBA26-CEA3-46CF-B880-EBE9FAB7851B}"/>
  <tableColumns count="1">
    <tableColumn id="1" xr3:uid="{A44CCCCA-440D-45EA-925D-D1371BD99878}" name="Rating vs Ln_reviews" dataDxfId="17">
      <calculatedColumnFormula>CORREL(Regression!F:F,Regression!D:D)</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D6E495-349F-4A5B-9AF9-E3BD88B5DE5C}" name="Table6" displayName="Table6" ref="A1:E7" totalsRowShown="0" headerRowDxfId="16" dataDxfId="14" headerRowBorderDxfId="15" tableBorderDxfId="13" dataCellStyle="Currency">
  <autoFilter ref="A1:E7" xr:uid="{67D6E495-349F-4A5B-9AF9-E3BD88B5DE5C}"/>
  <tableColumns count="5">
    <tableColumn id="1" xr3:uid="{74316CB8-FC8F-4827-970D-6DC487B209E0}" name="Metric"/>
    <tableColumn id="2" xr3:uid="{A3503D9E-B404-4D45-A44E-63CD38D94341}" name="price" dataDxfId="12" dataCellStyle="Currency"/>
    <tableColumn id="3" xr3:uid="{B304167D-69D8-40A3-AFCC-257EF0C888E3}" name="rating" dataDxfId="11" dataCellStyle="Currency"/>
    <tableColumn id="4" xr3:uid="{00969075-6943-4C5D-BDB2-169AE6C0099C}" name="reviews" dataDxfId="10" dataCellStyle="Currency"/>
    <tableColumn id="5" xr3:uid="{26EC3296-DB8D-4512-BB0B-28A20B9BBBA2}" name="ln_reviews" dataDxfId="9" dataCellStyle="Currency"/>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FAE0ED-D1ED-41CF-BABA-02A9E9A18E89}" name="Table7" displayName="Table7" ref="A1:B33" totalsRowShown="0" headerRowDxfId="8" headerRowBorderDxfId="7" tableBorderDxfId="6">
  <autoFilter ref="A1:B33" xr:uid="{A7FAE0ED-D1ED-41CF-BABA-02A9E9A18E89}"/>
  <tableColumns count="2">
    <tableColumn id="1" xr3:uid="{3D33BCED-B8E3-4B66-BAC7-8F583D92843B}" name="Field"/>
    <tableColumn id="2" xr3:uid="{B993CDD1-4A7F-48F8-ACBA-C26324F8A4DB}" name="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2F23A5-4AC4-4D32-A4E0-8274A29A8A49}" name="Table13" displayName="Table13" ref="A1:B10" totalsRowShown="0" headerRowDxfId="5" headerRowBorderDxfId="4" tableBorderDxfId="3">
  <autoFilter ref="A1:B10" xr:uid="{5A2F23A5-4AC4-4D32-A4E0-8274A29A8A49}"/>
  <tableColumns count="2">
    <tableColumn id="1" xr3:uid="{F159AE92-D384-4E87-8973-47548AA9C15A}" name="Item"/>
    <tableColumn id="2" xr3:uid="{187986CC-86AB-4ECF-A2B7-2CEE80C5AE0D}" name="Value" dataDxfId="2">
      <calculatedColumnFormula>Summary!B4</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0"/>
  <sheetViews>
    <sheetView topLeftCell="C5" zoomScaleNormal="100" workbookViewId="0">
      <selection activeCell="E2" sqref="E2"/>
    </sheetView>
  </sheetViews>
  <sheetFormatPr defaultColWidth="8.85546875" defaultRowHeight="15" x14ac:dyDescent="0.25"/>
  <cols>
    <col min="1" max="1" width="151.42578125" bestFit="1" customWidth="1"/>
    <col min="2" max="2" width="20.42578125" bestFit="1" customWidth="1"/>
    <col min="3" max="3" width="255.85546875" bestFit="1" customWidth="1"/>
    <col min="4" max="4" width="13.140625" customWidth="1"/>
    <col min="5" max="6" width="11" customWidth="1"/>
    <col min="7" max="7" width="12.140625" customWidth="1"/>
    <col min="8" max="8" width="15.42578125" customWidth="1"/>
    <col min="9" max="9" width="8.85546875" customWidth="1"/>
  </cols>
  <sheetData>
    <row r="1" spans="1:8" x14ac:dyDescent="0.25">
      <c r="A1" s="6" t="s">
        <v>0</v>
      </c>
      <c r="B1" s="6" t="s">
        <v>1</v>
      </c>
      <c r="C1" s="6" t="s">
        <v>2</v>
      </c>
      <c r="D1" s="6" t="s">
        <v>3</v>
      </c>
      <c r="E1" s="30" t="s">
        <v>4</v>
      </c>
      <c r="F1" s="30" t="s">
        <v>5</v>
      </c>
      <c r="G1" s="30" t="s">
        <v>6</v>
      </c>
      <c r="H1" s="6" t="s">
        <v>7</v>
      </c>
    </row>
    <row r="2" spans="1:8" hidden="1" x14ac:dyDescent="0.25">
      <c r="A2" t="s">
        <v>8</v>
      </c>
      <c r="B2" t="s">
        <v>9</v>
      </c>
      <c r="D2" t="s">
        <v>10</v>
      </c>
      <c r="E2" s="31"/>
      <c r="F2" s="31">
        <v>4.4000000000000004</v>
      </c>
      <c r="G2" s="31">
        <v>8032</v>
      </c>
      <c r="H2">
        <v>8.9913133361738122</v>
      </c>
    </row>
    <row r="3" spans="1:8" hidden="1" x14ac:dyDescent="0.25">
      <c r="A3" t="s">
        <v>11</v>
      </c>
      <c r="B3" t="s">
        <v>12</v>
      </c>
      <c r="D3" t="s">
        <v>10</v>
      </c>
      <c r="E3" s="31"/>
      <c r="F3" s="31">
        <v>4.5</v>
      </c>
      <c r="G3" s="31">
        <v>19647</v>
      </c>
      <c r="H3">
        <v>9.8857308309468692</v>
      </c>
    </row>
    <row r="4" spans="1:8" hidden="1" x14ac:dyDescent="0.25">
      <c r="A4" t="s">
        <v>13</v>
      </c>
      <c r="B4" t="s">
        <v>14</v>
      </c>
      <c r="D4" t="s">
        <v>10</v>
      </c>
      <c r="E4" s="31"/>
      <c r="F4" s="31">
        <v>4.5</v>
      </c>
      <c r="G4" s="31">
        <v>475</v>
      </c>
      <c r="H4">
        <v>6.1654178542314204</v>
      </c>
    </row>
    <row r="5" spans="1:8" x14ac:dyDescent="0.25">
      <c r="A5" t="s">
        <v>15</v>
      </c>
      <c r="B5" t="s">
        <v>16</v>
      </c>
      <c r="C5" t="s">
        <v>17</v>
      </c>
      <c r="D5" t="s">
        <v>10</v>
      </c>
      <c r="E5" s="31">
        <v>7.35</v>
      </c>
      <c r="F5" s="31">
        <v>4.5</v>
      </c>
      <c r="G5" s="31">
        <v>3090</v>
      </c>
      <c r="H5">
        <v>8.0362499421321161</v>
      </c>
    </row>
    <row r="6" spans="1:8" hidden="1" x14ac:dyDescent="0.25">
      <c r="A6" t="s">
        <v>18</v>
      </c>
      <c r="B6" t="s">
        <v>19</v>
      </c>
      <c r="D6" t="s">
        <v>10</v>
      </c>
      <c r="E6" s="31"/>
      <c r="F6" s="31">
        <v>4.4000000000000004</v>
      </c>
      <c r="G6" s="31">
        <v>6299</v>
      </c>
      <c r="H6">
        <v>8.7483049123796235</v>
      </c>
    </row>
    <row r="7" spans="1:8" hidden="1" x14ac:dyDescent="0.25">
      <c r="A7" t="s">
        <v>20</v>
      </c>
      <c r="B7" t="s">
        <v>9</v>
      </c>
      <c r="D7" t="s">
        <v>10</v>
      </c>
      <c r="E7" s="31"/>
      <c r="F7" s="31">
        <v>4.5999999999999996</v>
      </c>
      <c r="G7" s="31">
        <v>4397</v>
      </c>
      <c r="H7">
        <v>8.3889051711147058</v>
      </c>
    </row>
    <row r="8" spans="1:8" x14ac:dyDescent="0.25">
      <c r="A8" t="s">
        <v>21</v>
      </c>
      <c r="B8" t="s">
        <v>22</v>
      </c>
      <c r="D8" t="s">
        <v>10</v>
      </c>
      <c r="E8" s="31">
        <v>13.99</v>
      </c>
      <c r="F8" s="31">
        <v>4.4000000000000004</v>
      </c>
      <c r="G8" s="31">
        <v>6977</v>
      </c>
      <c r="H8">
        <v>8.8505176217467199</v>
      </c>
    </row>
    <row r="9" spans="1:8" hidden="1" x14ac:dyDescent="0.25">
      <c r="A9" t="s">
        <v>23</v>
      </c>
      <c r="B9" t="s">
        <v>24</v>
      </c>
      <c r="D9" t="s">
        <v>10</v>
      </c>
      <c r="E9" s="31"/>
      <c r="F9" s="31">
        <v>4.5999999999999996</v>
      </c>
      <c r="G9" s="31">
        <v>51091</v>
      </c>
      <c r="H9">
        <v>10.84138320816267</v>
      </c>
    </row>
    <row r="10" spans="1:8" x14ac:dyDescent="0.25">
      <c r="A10" t="s">
        <v>25</v>
      </c>
      <c r="B10" t="s">
        <v>26</v>
      </c>
      <c r="C10" t="s">
        <v>27</v>
      </c>
      <c r="D10" t="s">
        <v>10</v>
      </c>
      <c r="E10" s="31">
        <v>15.99</v>
      </c>
      <c r="F10" s="31">
        <v>4.2</v>
      </c>
      <c r="G10" s="31">
        <v>4207</v>
      </c>
      <c r="H10">
        <v>8.3447427544175454</v>
      </c>
    </row>
    <row r="11" spans="1:8" x14ac:dyDescent="0.25">
      <c r="A11" t="s">
        <v>28</v>
      </c>
      <c r="B11" t="s">
        <v>29</v>
      </c>
      <c r="D11" t="s">
        <v>10</v>
      </c>
      <c r="E11" s="31">
        <v>9.9600000000000009</v>
      </c>
      <c r="F11" s="31">
        <v>4.5999999999999996</v>
      </c>
      <c r="G11" s="31">
        <v>46</v>
      </c>
      <c r="H11">
        <v>3.850147601710058</v>
      </c>
    </row>
    <row r="12" spans="1:8" hidden="1" x14ac:dyDescent="0.25">
      <c r="A12" t="s">
        <v>30</v>
      </c>
      <c r="B12" t="s">
        <v>16</v>
      </c>
      <c r="D12" t="s">
        <v>10</v>
      </c>
      <c r="E12" s="31"/>
      <c r="F12" s="31">
        <v>4.5</v>
      </c>
      <c r="G12" s="31">
        <v>3158</v>
      </c>
      <c r="H12">
        <v>8.0580108008020854</v>
      </c>
    </row>
    <row r="13" spans="1:8" hidden="1" x14ac:dyDescent="0.25">
      <c r="A13" t="s">
        <v>31</v>
      </c>
      <c r="B13" t="s">
        <v>32</v>
      </c>
      <c r="C13" t="s">
        <v>33</v>
      </c>
      <c r="D13" t="s">
        <v>10</v>
      </c>
      <c r="E13" s="31"/>
      <c r="F13" s="31">
        <v>4.5</v>
      </c>
      <c r="G13" s="31">
        <v>4840</v>
      </c>
      <c r="H13">
        <v>8.4848765899396934</v>
      </c>
    </row>
    <row r="14" spans="1:8" hidden="1" x14ac:dyDescent="0.25">
      <c r="A14" t="s">
        <v>34</v>
      </c>
      <c r="B14" t="s">
        <v>35</v>
      </c>
      <c r="C14" t="s">
        <v>36</v>
      </c>
      <c r="D14" t="s">
        <v>10</v>
      </c>
      <c r="E14" s="31"/>
      <c r="F14" s="31">
        <v>4</v>
      </c>
      <c r="G14" s="31">
        <v>8332</v>
      </c>
      <c r="H14">
        <v>9.0279788143822071</v>
      </c>
    </row>
    <row r="15" spans="1:8" x14ac:dyDescent="0.25">
      <c r="A15" t="s">
        <v>37</v>
      </c>
      <c r="B15" t="s">
        <v>38</v>
      </c>
      <c r="D15" t="s">
        <v>10</v>
      </c>
      <c r="E15" s="31">
        <v>13.99</v>
      </c>
      <c r="F15" s="31">
        <v>4.5999999999999996</v>
      </c>
      <c r="G15" s="31">
        <v>1295</v>
      </c>
      <c r="H15">
        <v>7.1670378769122198</v>
      </c>
    </row>
    <row r="16" spans="1:8" hidden="1" x14ac:dyDescent="0.25">
      <c r="A16" t="s">
        <v>39</v>
      </c>
      <c r="B16" t="s">
        <v>40</v>
      </c>
      <c r="D16" t="s">
        <v>10</v>
      </c>
      <c r="E16" s="31"/>
      <c r="F16" s="31">
        <v>4.5</v>
      </c>
      <c r="G16" s="31">
        <v>26606</v>
      </c>
      <c r="H16">
        <v>10.188929618044559</v>
      </c>
    </row>
    <row r="17" spans="1:8" hidden="1" x14ac:dyDescent="0.25">
      <c r="A17" t="s">
        <v>41</v>
      </c>
      <c r="B17" t="s">
        <v>38</v>
      </c>
      <c r="D17" t="s">
        <v>10</v>
      </c>
      <c r="E17" s="31"/>
      <c r="F17" s="31">
        <v>4.3</v>
      </c>
      <c r="G17" s="31">
        <v>2516</v>
      </c>
      <c r="H17">
        <v>7.8308229951353159</v>
      </c>
    </row>
    <row r="18" spans="1:8" x14ac:dyDescent="0.25">
      <c r="A18" t="s">
        <v>42</v>
      </c>
      <c r="B18" t="s">
        <v>43</v>
      </c>
      <c r="D18" t="s">
        <v>10</v>
      </c>
      <c r="E18" s="31">
        <v>13.98</v>
      </c>
      <c r="F18" s="31">
        <v>4.5999999999999996</v>
      </c>
      <c r="G18" s="31">
        <v>5196</v>
      </c>
      <c r="H18">
        <v>8.5558368150084423</v>
      </c>
    </row>
    <row r="19" spans="1:8" hidden="1" x14ac:dyDescent="0.25">
      <c r="A19" t="s">
        <v>44</v>
      </c>
      <c r="B19" t="s">
        <v>45</v>
      </c>
      <c r="D19" t="s">
        <v>10</v>
      </c>
      <c r="E19" s="31"/>
      <c r="F19" s="31">
        <v>4.5999999999999996</v>
      </c>
      <c r="G19" s="31">
        <v>30866</v>
      </c>
      <c r="H19">
        <v>10.33744293104392</v>
      </c>
    </row>
    <row r="20" spans="1:8" x14ac:dyDescent="0.25">
      <c r="A20" t="s">
        <v>46</v>
      </c>
      <c r="B20" t="s">
        <v>9</v>
      </c>
      <c r="D20" t="s">
        <v>10</v>
      </c>
      <c r="E20" s="31">
        <v>12.74</v>
      </c>
      <c r="F20" s="31">
        <v>4.5999999999999996</v>
      </c>
      <c r="G20" s="31">
        <v>3519</v>
      </c>
      <c r="H20">
        <v>8.1662162685921427</v>
      </c>
    </row>
    <row r="21" spans="1:8" x14ac:dyDescent="0.25">
      <c r="A21" t="s">
        <v>47</v>
      </c>
      <c r="B21" t="s">
        <v>9</v>
      </c>
      <c r="D21" t="s">
        <v>10</v>
      </c>
      <c r="E21" s="31">
        <v>15.99</v>
      </c>
      <c r="F21" s="31">
        <v>4.5</v>
      </c>
      <c r="G21" s="31">
        <v>33097</v>
      </c>
      <c r="H21">
        <v>10.40722813657889</v>
      </c>
    </row>
    <row r="22" spans="1:8" x14ac:dyDescent="0.25">
      <c r="A22" t="s">
        <v>48</v>
      </c>
      <c r="B22" t="s">
        <v>45</v>
      </c>
      <c r="D22" t="s">
        <v>10</v>
      </c>
      <c r="E22" s="31">
        <v>19.989999999999998</v>
      </c>
      <c r="F22" s="31">
        <v>4.5999999999999996</v>
      </c>
      <c r="G22" s="31">
        <v>2851</v>
      </c>
      <c r="H22">
        <v>7.9557757815341859</v>
      </c>
    </row>
    <row r="23" spans="1:8" x14ac:dyDescent="0.25">
      <c r="A23" t="s">
        <v>49</v>
      </c>
      <c r="B23" t="s">
        <v>50</v>
      </c>
      <c r="D23" t="s">
        <v>10</v>
      </c>
      <c r="E23" s="31">
        <v>33.99</v>
      </c>
      <c r="F23" s="31">
        <v>4.3</v>
      </c>
      <c r="G23" s="31">
        <v>14351</v>
      </c>
      <c r="H23">
        <v>9.5716445842985767</v>
      </c>
    </row>
    <row r="24" spans="1:8" hidden="1" x14ac:dyDescent="0.25">
      <c r="A24" t="s">
        <v>51</v>
      </c>
      <c r="B24" t="s">
        <v>9</v>
      </c>
      <c r="D24" t="s">
        <v>10</v>
      </c>
      <c r="E24" s="31"/>
      <c r="F24" s="31">
        <v>4.5</v>
      </c>
      <c r="G24" s="31">
        <v>4509</v>
      </c>
      <c r="H24">
        <v>8.4140524324967245</v>
      </c>
    </row>
    <row r="25" spans="1:8" hidden="1" x14ac:dyDescent="0.25">
      <c r="A25" t="s">
        <v>52</v>
      </c>
      <c r="B25" t="s">
        <v>53</v>
      </c>
      <c r="C25" t="s">
        <v>54</v>
      </c>
      <c r="D25" t="s">
        <v>10</v>
      </c>
      <c r="E25" s="31"/>
      <c r="F25" s="31">
        <v>4.2</v>
      </c>
      <c r="G25" s="31">
        <v>2061</v>
      </c>
      <c r="H25">
        <v>7.6314316645769047</v>
      </c>
    </row>
    <row r="26" spans="1:8" hidden="1" x14ac:dyDescent="0.25">
      <c r="A26" t="s">
        <v>55</v>
      </c>
      <c r="B26" t="s">
        <v>9</v>
      </c>
      <c r="D26" t="s">
        <v>10</v>
      </c>
      <c r="E26" s="31"/>
      <c r="F26" s="31">
        <v>4.4000000000000004</v>
      </c>
      <c r="G26" s="31">
        <v>1804</v>
      </c>
      <c r="H26">
        <v>7.498315870766981</v>
      </c>
    </row>
    <row r="27" spans="1:8" x14ac:dyDescent="0.25">
      <c r="A27" t="s">
        <v>56</v>
      </c>
      <c r="B27" t="s">
        <v>57</v>
      </c>
      <c r="D27" t="s">
        <v>10</v>
      </c>
      <c r="E27" s="31">
        <v>14.99</v>
      </c>
      <c r="F27" s="31">
        <v>4.4000000000000004</v>
      </c>
      <c r="G27" s="31">
        <v>745</v>
      </c>
      <c r="H27">
        <v>6.6147256002037604</v>
      </c>
    </row>
    <row r="28" spans="1:8" x14ac:dyDescent="0.25">
      <c r="A28" t="s">
        <v>58</v>
      </c>
      <c r="B28" t="s">
        <v>59</v>
      </c>
      <c r="D28" t="s">
        <v>10</v>
      </c>
      <c r="E28" s="31">
        <v>24.99</v>
      </c>
      <c r="F28" s="31">
        <v>4.5</v>
      </c>
      <c r="G28" s="31">
        <v>26742</v>
      </c>
      <c r="H28">
        <v>10.194028035836389</v>
      </c>
    </row>
    <row r="29" spans="1:8" x14ac:dyDescent="0.25">
      <c r="A29" t="s">
        <v>60</v>
      </c>
      <c r="B29" t="s">
        <v>9</v>
      </c>
      <c r="D29" t="s">
        <v>10</v>
      </c>
      <c r="E29" s="31">
        <v>14.99</v>
      </c>
      <c r="F29" s="31">
        <v>4.5999999999999996</v>
      </c>
      <c r="G29" s="31">
        <v>31834</v>
      </c>
      <c r="H29">
        <v>10.368321592451119</v>
      </c>
    </row>
    <row r="30" spans="1:8" x14ac:dyDescent="0.25">
      <c r="A30" t="s">
        <v>61</v>
      </c>
      <c r="B30" t="s">
        <v>9</v>
      </c>
      <c r="D30" t="s">
        <v>10</v>
      </c>
      <c r="E30" s="31">
        <v>12.42</v>
      </c>
      <c r="F30" s="31">
        <v>4.4000000000000004</v>
      </c>
      <c r="G30" s="31">
        <v>18645</v>
      </c>
      <c r="H30">
        <v>9.8333869248566383</v>
      </c>
    </row>
    <row r="31" spans="1:8" hidden="1" x14ac:dyDescent="0.25">
      <c r="A31" t="s">
        <v>62</v>
      </c>
      <c r="B31" t="s">
        <v>9</v>
      </c>
      <c r="D31" t="s">
        <v>10</v>
      </c>
      <c r="E31" s="31"/>
      <c r="F31" s="31">
        <v>4.5</v>
      </c>
      <c r="G31" s="31">
        <v>28503</v>
      </c>
      <c r="H31">
        <v>10.25779970728567</v>
      </c>
    </row>
    <row r="32" spans="1:8" hidden="1" x14ac:dyDescent="0.25">
      <c r="A32" t="s">
        <v>63</v>
      </c>
      <c r="B32" t="s">
        <v>64</v>
      </c>
      <c r="D32" t="s">
        <v>10</v>
      </c>
      <c r="E32" s="31"/>
      <c r="F32" s="31">
        <v>4.4000000000000004</v>
      </c>
      <c r="G32" s="31">
        <v>13936</v>
      </c>
      <c r="H32">
        <v>9.5423024531195093</v>
      </c>
    </row>
    <row r="33" spans="1:8" x14ac:dyDescent="0.25">
      <c r="A33" t="s">
        <v>65</v>
      </c>
      <c r="B33" t="s">
        <v>66</v>
      </c>
      <c r="D33" t="s">
        <v>10</v>
      </c>
      <c r="E33" s="31">
        <v>15.55</v>
      </c>
      <c r="F33" s="31">
        <v>4.5</v>
      </c>
      <c r="G33" s="31">
        <v>12130</v>
      </c>
      <c r="H33">
        <v>9.4035194387709193</v>
      </c>
    </row>
    <row r="34" spans="1:8" x14ac:dyDescent="0.25">
      <c r="A34" t="s">
        <v>67</v>
      </c>
      <c r="B34" t="s">
        <v>9</v>
      </c>
      <c r="D34" t="s">
        <v>10</v>
      </c>
      <c r="E34" s="31">
        <v>14.99</v>
      </c>
      <c r="F34" s="31">
        <v>4.4000000000000004</v>
      </c>
      <c r="G34" s="31">
        <v>14340</v>
      </c>
      <c r="H34">
        <v>9.5708778467292124</v>
      </c>
    </row>
    <row r="35" spans="1:8" hidden="1" x14ac:dyDescent="0.25">
      <c r="A35" t="s">
        <v>68</v>
      </c>
      <c r="B35" t="s">
        <v>9</v>
      </c>
      <c r="D35" t="s">
        <v>10</v>
      </c>
      <c r="E35" s="31"/>
      <c r="F35" s="31">
        <v>4.4000000000000004</v>
      </c>
      <c r="G35" s="31">
        <v>19513</v>
      </c>
      <c r="H35">
        <v>9.8788874356678953</v>
      </c>
    </row>
    <row r="36" spans="1:8" hidden="1" x14ac:dyDescent="0.25">
      <c r="A36" t="s">
        <v>69</v>
      </c>
      <c r="B36" t="s">
        <v>45</v>
      </c>
      <c r="D36" t="s">
        <v>10</v>
      </c>
      <c r="E36" s="31"/>
      <c r="F36" s="31">
        <v>4.4000000000000004</v>
      </c>
      <c r="G36" s="31">
        <v>11624</v>
      </c>
      <c r="H36">
        <v>9.3609132304555569</v>
      </c>
    </row>
    <row r="37" spans="1:8" hidden="1" x14ac:dyDescent="0.25">
      <c r="A37" t="s">
        <v>70</v>
      </c>
      <c r="B37" t="s">
        <v>45</v>
      </c>
      <c r="D37" t="s">
        <v>10</v>
      </c>
      <c r="E37" s="31"/>
      <c r="F37" s="31">
        <v>4.5</v>
      </c>
      <c r="G37" s="31">
        <v>39975</v>
      </c>
      <c r="H37">
        <v>10.59603455302404</v>
      </c>
    </row>
    <row r="38" spans="1:8" hidden="1" x14ac:dyDescent="0.25">
      <c r="A38" t="s">
        <v>71</v>
      </c>
      <c r="B38" t="s">
        <v>24</v>
      </c>
      <c r="D38" t="s">
        <v>10</v>
      </c>
      <c r="E38" s="31"/>
      <c r="F38" s="31">
        <v>4.5</v>
      </c>
      <c r="G38" s="31">
        <v>49016</v>
      </c>
      <c r="H38">
        <v>10.79992245569893</v>
      </c>
    </row>
    <row r="39" spans="1:8" hidden="1" x14ac:dyDescent="0.25">
      <c r="A39" t="s">
        <v>72</v>
      </c>
      <c r="B39" t="s">
        <v>73</v>
      </c>
      <c r="D39" t="s">
        <v>10</v>
      </c>
      <c r="E39" s="31"/>
      <c r="F39" s="31">
        <v>4.4000000000000004</v>
      </c>
      <c r="G39" s="31">
        <v>1448</v>
      </c>
      <c r="H39">
        <v>7.2786289423206822</v>
      </c>
    </row>
    <row r="40" spans="1:8" x14ac:dyDescent="0.25">
      <c r="A40" t="s">
        <v>74</v>
      </c>
      <c r="B40" t="s">
        <v>9</v>
      </c>
      <c r="D40" t="s">
        <v>10</v>
      </c>
      <c r="E40" s="31">
        <v>13.99</v>
      </c>
      <c r="F40" s="31">
        <v>4.4000000000000004</v>
      </c>
      <c r="G40" s="31">
        <v>34615</v>
      </c>
      <c r="H40">
        <v>10.45207128190472</v>
      </c>
    </row>
    <row r="41" spans="1:8" hidden="1" x14ac:dyDescent="0.25">
      <c r="A41" t="s">
        <v>75</v>
      </c>
      <c r="B41" t="s">
        <v>76</v>
      </c>
      <c r="D41" t="s">
        <v>10</v>
      </c>
      <c r="E41" s="31"/>
      <c r="F41" s="31">
        <v>4.4000000000000004</v>
      </c>
      <c r="G41" s="31">
        <v>5685</v>
      </c>
      <c r="H41">
        <v>8.6457622922109447</v>
      </c>
    </row>
    <row r="42" spans="1:8" x14ac:dyDescent="0.25">
      <c r="A42" t="s">
        <v>77</v>
      </c>
      <c r="B42" t="s">
        <v>78</v>
      </c>
      <c r="D42" t="s">
        <v>10</v>
      </c>
      <c r="E42" s="31">
        <v>9.99</v>
      </c>
      <c r="F42" s="31">
        <v>4.5</v>
      </c>
      <c r="G42" s="31">
        <v>1765</v>
      </c>
      <c r="H42">
        <v>7.4764723811639051</v>
      </c>
    </row>
    <row r="43" spans="1:8" x14ac:dyDescent="0.25">
      <c r="A43" t="s">
        <v>79</v>
      </c>
      <c r="B43" t="s">
        <v>80</v>
      </c>
      <c r="C43" t="s">
        <v>81</v>
      </c>
      <c r="D43" t="s">
        <v>10</v>
      </c>
      <c r="E43" s="31">
        <v>41.73</v>
      </c>
      <c r="F43" s="31">
        <v>4.8</v>
      </c>
      <c r="G43" s="31">
        <v>1982</v>
      </c>
      <c r="H43">
        <v>7.5923661285197959</v>
      </c>
    </row>
    <row r="44" spans="1:8" x14ac:dyDescent="0.25">
      <c r="A44" t="s">
        <v>82</v>
      </c>
      <c r="B44" t="s">
        <v>38</v>
      </c>
      <c r="D44" t="s">
        <v>10</v>
      </c>
      <c r="E44" s="31">
        <v>22.95</v>
      </c>
      <c r="F44" s="31">
        <v>4.4000000000000004</v>
      </c>
      <c r="G44" s="31">
        <v>5480</v>
      </c>
      <c r="H44">
        <v>8.6090428450461154</v>
      </c>
    </row>
    <row r="45" spans="1:8" x14ac:dyDescent="0.25">
      <c r="A45" t="s">
        <v>83</v>
      </c>
      <c r="B45" t="s">
        <v>9</v>
      </c>
      <c r="D45" t="s">
        <v>10</v>
      </c>
      <c r="E45" s="31">
        <v>14.16</v>
      </c>
      <c r="F45" s="31">
        <v>4.5999999999999996</v>
      </c>
      <c r="G45" s="31">
        <v>6913</v>
      </c>
      <c r="H45">
        <v>8.84130362048157</v>
      </c>
    </row>
    <row r="46" spans="1:8" x14ac:dyDescent="0.25">
      <c r="A46" t="s">
        <v>84</v>
      </c>
      <c r="B46" t="s">
        <v>85</v>
      </c>
      <c r="D46" t="s">
        <v>10</v>
      </c>
      <c r="E46" s="31">
        <v>8.99</v>
      </c>
      <c r="F46" s="31">
        <v>4.5</v>
      </c>
      <c r="G46" s="31">
        <v>671</v>
      </c>
      <c r="H46">
        <v>6.5102583405231496</v>
      </c>
    </row>
    <row r="47" spans="1:8" hidden="1" x14ac:dyDescent="0.25">
      <c r="A47" t="s">
        <v>86</v>
      </c>
      <c r="B47" t="s">
        <v>43</v>
      </c>
      <c r="D47" t="s">
        <v>10</v>
      </c>
      <c r="E47" s="31"/>
      <c r="F47" s="31">
        <v>4.5</v>
      </c>
      <c r="G47" s="31">
        <v>7496</v>
      </c>
      <c r="H47">
        <v>8.9222582195030622</v>
      </c>
    </row>
    <row r="48" spans="1:8" hidden="1" x14ac:dyDescent="0.25">
      <c r="A48" t="s">
        <v>87</v>
      </c>
      <c r="B48" t="s">
        <v>9</v>
      </c>
      <c r="D48" t="s">
        <v>10</v>
      </c>
      <c r="E48" s="31"/>
      <c r="F48" s="31">
        <v>4.5999999999999996</v>
      </c>
      <c r="G48" s="31">
        <v>12600</v>
      </c>
      <c r="H48">
        <v>9.4415314548696934</v>
      </c>
    </row>
    <row r="49" spans="1:8" hidden="1" x14ac:dyDescent="0.25">
      <c r="A49" t="s">
        <v>88</v>
      </c>
      <c r="B49" t="s">
        <v>89</v>
      </c>
      <c r="D49" t="s">
        <v>10</v>
      </c>
      <c r="E49" s="31"/>
      <c r="F49" s="31">
        <v>4.5</v>
      </c>
      <c r="G49" s="31">
        <v>5340</v>
      </c>
      <c r="H49">
        <v>8.5831681803397704</v>
      </c>
    </row>
    <row r="50" spans="1:8" x14ac:dyDescent="0.25">
      <c r="A50" t="s">
        <v>90</v>
      </c>
      <c r="B50" t="s">
        <v>91</v>
      </c>
      <c r="D50" t="s">
        <v>10</v>
      </c>
      <c r="E50" s="31">
        <v>15.87</v>
      </c>
      <c r="F50" s="31">
        <v>4.4000000000000004</v>
      </c>
      <c r="G50" s="31">
        <v>10800</v>
      </c>
      <c r="H50">
        <v>9.2873940014184733</v>
      </c>
    </row>
    <row r="51" spans="1:8" hidden="1" x14ac:dyDescent="0.25">
      <c r="A51" t="s">
        <v>92</v>
      </c>
      <c r="B51" t="s">
        <v>93</v>
      </c>
      <c r="D51" t="s">
        <v>10</v>
      </c>
      <c r="E51" s="31"/>
      <c r="F51" s="31">
        <v>4.2</v>
      </c>
      <c r="G51" s="31">
        <v>8976</v>
      </c>
      <c r="H51">
        <v>9.1024210297566874</v>
      </c>
    </row>
    <row r="52" spans="1:8" hidden="1" x14ac:dyDescent="0.25">
      <c r="A52" t="s">
        <v>94</v>
      </c>
      <c r="B52" t="s">
        <v>95</v>
      </c>
      <c r="D52" t="s">
        <v>10</v>
      </c>
      <c r="E52" s="31"/>
      <c r="F52" s="31">
        <v>4.5</v>
      </c>
      <c r="G52" s="31">
        <v>10473</v>
      </c>
      <c r="H52">
        <v>9.2566512748394327</v>
      </c>
    </row>
    <row r="53" spans="1:8" hidden="1" x14ac:dyDescent="0.25">
      <c r="A53" t="s">
        <v>96</v>
      </c>
      <c r="B53" t="s">
        <v>97</v>
      </c>
      <c r="C53" t="s">
        <v>98</v>
      </c>
      <c r="D53" t="s">
        <v>10</v>
      </c>
      <c r="E53" s="31"/>
      <c r="F53" s="31">
        <v>4.5999999999999996</v>
      </c>
      <c r="G53" s="31">
        <v>2465</v>
      </c>
      <c r="H53">
        <v>7.8103526837242896</v>
      </c>
    </row>
    <row r="54" spans="1:8" x14ac:dyDescent="0.25">
      <c r="A54" t="s">
        <v>99</v>
      </c>
      <c r="B54" t="s">
        <v>100</v>
      </c>
      <c r="C54" t="s">
        <v>101</v>
      </c>
      <c r="D54" t="s">
        <v>10</v>
      </c>
      <c r="E54" s="31">
        <v>35.99</v>
      </c>
      <c r="F54" s="31">
        <v>4.5</v>
      </c>
      <c r="G54" s="31">
        <v>6429</v>
      </c>
      <c r="H54">
        <v>8.7687298172316641</v>
      </c>
    </row>
    <row r="55" spans="1:8" x14ac:dyDescent="0.25">
      <c r="A55" t="s">
        <v>102</v>
      </c>
      <c r="B55" t="s">
        <v>103</v>
      </c>
      <c r="D55" t="s">
        <v>10</v>
      </c>
      <c r="E55" s="31">
        <v>9.99</v>
      </c>
      <c r="F55" s="31">
        <v>4.4000000000000004</v>
      </c>
      <c r="G55" s="31">
        <v>20710</v>
      </c>
      <c r="H55">
        <v>9.9384202390761498</v>
      </c>
    </row>
    <row r="56" spans="1:8" hidden="1" x14ac:dyDescent="0.25">
      <c r="A56" t="s">
        <v>104</v>
      </c>
      <c r="B56" t="s">
        <v>105</v>
      </c>
      <c r="C56" t="s">
        <v>106</v>
      </c>
      <c r="D56" t="s">
        <v>10</v>
      </c>
      <c r="E56" s="31"/>
      <c r="F56" s="31">
        <v>4.4000000000000004</v>
      </c>
      <c r="G56" s="31">
        <v>1473</v>
      </c>
      <c r="H56">
        <v>7.2957350727492818</v>
      </c>
    </row>
    <row r="57" spans="1:8" x14ac:dyDescent="0.25">
      <c r="A57" t="s">
        <v>107</v>
      </c>
      <c r="B57" t="s">
        <v>108</v>
      </c>
      <c r="D57" t="s">
        <v>10</v>
      </c>
      <c r="E57" s="31">
        <v>41.16</v>
      </c>
      <c r="F57" s="31">
        <v>4.7</v>
      </c>
      <c r="G57" s="31">
        <v>6526</v>
      </c>
      <c r="H57">
        <v>8.7837026986352171</v>
      </c>
    </row>
    <row r="58" spans="1:8" hidden="1" x14ac:dyDescent="0.25">
      <c r="A58" t="s">
        <v>109</v>
      </c>
      <c r="B58" t="s">
        <v>110</v>
      </c>
      <c r="D58" t="s">
        <v>10</v>
      </c>
      <c r="E58" s="31"/>
      <c r="F58" s="31">
        <v>4.3</v>
      </c>
      <c r="G58" s="31">
        <v>5732</v>
      </c>
      <c r="H58">
        <v>8.6539942329083832</v>
      </c>
    </row>
    <row r="59" spans="1:8" hidden="1" x14ac:dyDescent="0.25">
      <c r="A59" t="s">
        <v>111</v>
      </c>
      <c r="B59" t="s">
        <v>112</v>
      </c>
      <c r="D59" t="s">
        <v>10</v>
      </c>
      <c r="E59" s="31"/>
      <c r="F59" s="31">
        <v>4.5</v>
      </c>
      <c r="G59" s="31">
        <v>900</v>
      </c>
      <c r="H59">
        <v>6.8035052576083377</v>
      </c>
    </row>
    <row r="60" spans="1:8" hidden="1" x14ac:dyDescent="0.25">
      <c r="A60" t="s">
        <v>113</v>
      </c>
      <c r="B60" t="s">
        <v>114</v>
      </c>
      <c r="C60" t="s">
        <v>115</v>
      </c>
      <c r="D60" t="s">
        <v>10</v>
      </c>
      <c r="E60" s="31"/>
      <c r="F60" s="31">
        <v>4.8</v>
      </c>
      <c r="G60" s="31">
        <v>14</v>
      </c>
      <c r="H60">
        <v>2.7080502011022101</v>
      </c>
    </row>
    <row r="61" spans="1:8" hidden="1" x14ac:dyDescent="0.25">
      <c r="A61" t="s">
        <v>116</v>
      </c>
      <c r="B61" t="s">
        <v>117</v>
      </c>
      <c r="D61" t="s">
        <v>10</v>
      </c>
      <c r="E61" s="31"/>
      <c r="F61" s="31">
        <v>3.9</v>
      </c>
      <c r="G61" s="31">
        <v>4539</v>
      </c>
      <c r="H61">
        <v>8.4206822910353942</v>
      </c>
    </row>
    <row r="62" spans="1:8" hidden="1" x14ac:dyDescent="0.25">
      <c r="A62" t="s">
        <v>118</v>
      </c>
      <c r="B62" t="s">
        <v>59</v>
      </c>
      <c r="D62" t="s">
        <v>10</v>
      </c>
      <c r="E62" s="31"/>
      <c r="F62" s="31">
        <v>4.3</v>
      </c>
      <c r="G62" s="31">
        <v>14106</v>
      </c>
      <c r="H62">
        <v>9.5544264070745015</v>
      </c>
    </row>
    <row r="63" spans="1:8" hidden="1" x14ac:dyDescent="0.25">
      <c r="A63" t="s">
        <v>119</v>
      </c>
      <c r="B63" t="s">
        <v>120</v>
      </c>
      <c r="D63" t="s">
        <v>10</v>
      </c>
      <c r="E63" s="31"/>
      <c r="F63" s="31">
        <v>4.4000000000000004</v>
      </c>
      <c r="G63" s="31">
        <v>2233</v>
      </c>
      <c r="H63">
        <v>7.7115489796291454</v>
      </c>
    </row>
    <row r="64" spans="1:8" hidden="1" x14ac:dyDescent="0.25">
      <c r="A64" t="s">
        <v>121</v>
      </c>
      <c r="B64" t="s">
        <v>122</v>
      </c>
      <c r="D64" t="s">
        <v>10</v>
      </c>
      <c r="E64" s="31"/>
      <c r="F64" s="31">
        <v>4.5999999999999996</v>
      </c>
      <c r="G64" s="31">
        <v>4673</v>
      </c>
      <c r="H64">
        <v>8.4497705150988036</v>
      </c>
    </row>
    <row r="65" spans="1:8" hidden="1" x14ac:dyDescent="0.25">
      <c r="A65" t="s">
        <v>123</v>
      </c>
      <c r="B65" t="s">
        <v>124</v>
      </c>
      <c r="D65" t="s">
        <v>10</v>
      </c>
      <c r="E65" s="31"/>
      <c r="F65" s="31">
        <v>4.5999999999999996</v>
      </c>
      <c r="G65" s="31">
        <v>3414</v>
      </c>
      <c r="H65">
        <v>8.1359327720048906</v>
      </c>
    </row>
    <row r="66" spans="1:8" x14ac:dyDescent="0.25">
      <c r="A66" t="s">
        <v>125</v>
      </c>
      <c r="B66" t="s">
        <v>126</v>
      </c>
      <c r="D66" t="s">
        <v>10</v>
      </c>
      <c r="E66" s="31">
        <v>11.57</v>
      </c>
      <c r="F66" s="31">
        <v>4.0999999999999996</v>
      </c>
      <c r="G66" s="31">
        <v>2508</v>
      </c>
      <c r="H66">
        <v>7.8276395463664219</v>
      </c>
    </row>
    <row r="67" spans="1:8" x14ac:dyDescent="0.25">
      <c r="A67" t="s">
        <v>127</v>
      </c>
      <c r="B67" t="s">
        <v>128</v>
      </c>
      <c r="C67" t="s">
        <v>129</v>
      </c>
      <c r="D67" t="s">
        <v>10</v>
      </c>
      <c r="E67" s="31">
        <v>14.99</v>
      </c>
      <c r="F67" s="31">
        <v>4.3</v>
      </c>
      <c r="G67" s="31">
        <v>7130</v>
      </c>
      <c r="H67">
        <v>8.8722067560283033</v>
      </c>
    </row>
    <row r="68" spans="1:8" hidden="1" x14ac:dyDescent="0.25">
      <c r="A68" t="s">
        <v>130</v>
      </c>
      <c r="B68" t="s">
        <v>131</v>
      </c>
      <c r="C68" t="s">
        <v>132</v>
      </c>
      <c r="D68" t="s">
        <v>10</v>
      </c>
      <c r="E68" s="31"/>
      <c r="F68" s="31">
        <v>4.7</v>
      </c>
      <c r="G68" s="31">
        <v>5331</v>
      </c>
      <c r="H68">
        <v>8.5814816812985981</v>
      </c>
    </row>
    <row r="69" spans="1:8" x14ac:dyDescent="0.25">
      <c r="A69" t="s">
        <v>133</v>
      </c>
      <c r="B69" t="s">
        <v>134</v>
      </c>
      <c r="D69" t="s">
        <v>10</v>
      </c>
      <c r="E69" s="31">
        <v>9.99</v>
      </c>
      <c r="F69" s="31">
        <v>4.5</v>
      </c>
      <c r="G69" s="31">
        <v>703</v>
      </c>
      <c r="H69">
        <v>6.5567783561580422</v>
      </c>
    </row>
    <row r="70" spans="1:8" hidden="1" x14ac:dyDescent="0.25">
      <c r="A70" t="s">
        <v>135</v>
      </c>
      <c r="B70" t="s">
        <v>136</v>
      </c>
      <c r="D70" t="s">
        <v>10</v>
      </c>
      <c r="E70" s="31"/>
      <c r="F70" s="31">
        <v>4.4000000000000004</v>
      </c>
      <c r="G70" s="31">
        <v>6540</v>
      </c>
      <c r="H70">
        <v>8.7858453379612129</v>
      </c>
    </row>
    <row r="71" spans="1:8" x14ac:dyDescent="0.25">
      <c r="A71" t="s">
        <v>137</v>
      </c>
      <c r="B71" t="s">
        <v>138</v>
      </c>
      <c r="D71" t="s">
        <v>10</v>
      </c>
      <c r="E71" s="31">
        <v>17.989999999999998</v>
      </c>
      <c r="F71" s="31">
        <v>4.5999999999999996</v>
      </c>
      <c r="G71" s="31">
        <v>4741</v>
      </c>
      <c r="H71">
        <v>8.4642142666253513</v>
      </c>
    </row>
    <row r="72" spans="1:8" x14ac:dyDescent="0.25">
      <c r="A72" t="s">
        <v>139</v>
      </c>
      <c r="B72" t="s">
        <v>140</v>
      </c>
      <c r="C72" t="s">
        <v>141</v>
      </c>
      <c r="D72" t="s">
        <v>10</v>
      </c>
      <c r="E72" s="31">
        <v>25</v>
      </c>
      <c r="F72" s="31">
        <v>4.5999999999999996</v>
      </c>
      <c r="G72" s="31">
        <v>6137</v>
      </c>
      <c r="H72">
        <v>8.7222542351796815</v>
      </c>
    </row>
    <row r="73" spans="1:8" hidden="1" x14ac:dyDescent="0.25">
      <c r="A73" t="s">
        <v>142</v>
      </c>
      <c r="B73" t="s">
        <v>143</v>
      </c>
      <c r="C73" t="s">
        <v>144</v>
      </c>
      <c r="D73" t="s">
        <v>10</v>
      </c>
      <c r="E73" s="31"/>
      <c r="F73" s="31">
        <v>4.5</v>
      </c>
      <c r="G73" s="31">
        <v>5979</v>
      </c>
      <c r="H73">
        <v>8.6961758469446764</v>
      </c>
    </row>
    <row r="74" spans="1:8" hidden="1" x14ac:dyDescent="0.25">
      <c r="A74" t="s">
        <v>145</v>
      </c>
      <c r="B74" t="s">
        <v>146</v>
      </c>
      <c r="D74" t="s">
        <v>10</v>
      </c>
      <c r="E74" s="31"/>
      <c r="F74" s="31">
        <v>4.5</v>
      </c>
      <c r="G74" s="31">
        <v>13067</v>
      </c>
      <c r="H74">
        <v>9.4779217727209613</v>
      </c>
    </row>
    <row r="75" spans="1:8" hidden="1" x14ac:dyDescent="0.25">
      <c r="A75" t="s">
        <v>147</v>
      </c>
      <c r="B75" t="s">
        <v>148</v>
      </c>
      <c r="D75" t="s">
        <v>10</v>
      </c>
      <c r="E75" s="31"/>
      <c r="F75" s="31">
        <v>4.3</v>
      </c>
      <c r="G75" s="31">
        <v>1808</v>
      </c>
      <c r="H75">
        <v>7.5005294853952948</v>
      </c>
    </row>
    <row r="76" spans="1:8" x14ac:dyDescent="0.25">
      <c r="A76" t="s">
        <v>149</v>
      </c>
      <c r="B76" t="s">
        <v>150</v>
      </c>
      <c r="D76" t="s">
        <v>10</v>
      </c>
      <c r="E76" s="31">
        <v>9.99</v>
      </c>
      <c r="F76" s="31">
        <v>4.4000000000000004</v>
      </c>
      <c r="G76" s="31">
        <v>7287</v>
      </c>
      <c r="H76">
        <v>8.8939844389397944</v>
      </c>
    </row>
    <row r="77" spans="1:8" x14ac:dyDescent="0.25">
      <c r="A77" t="s">
        <v>151</v>
      </c>
      <c r="B77" t="s">
        <v>152</v>
      </c>
      <c r="C77" t="s">
        <v>153</v>
      </c>
      <c r="D77" t="s">
        <v>10</v>
      </c>
      <c r="E77" s="31">
        <v>3.99</v>
      </c>
      <c r="F77" s="31">
        <v>4.5999999999999996</v>
      </c>
      <c r="G77" s="31">
        <v>3348</v>
      </c>
      <c r="H77">
        <v>8.1164170727942047</v>
      </c>
    </row>
    <row r="78" spans="1:8" hidden="1" x14ac:dyDescent="0.25">
      <c r="A78" t="s">
        <v>154</v>
      </c>
      <c r="B78" t="s">
        <v>155</v>
      </c>
      <c r="D78" t="s">
        <v>10</v>
      </c>
      <c r="E78" s="31"/>
      <c r="F78" s="31">
        <v>4.3</v>
      </c>
      <c r="G78" s="31">
        <v>4004</v>
      </c>
      <c r="H78">
        <v>8.2952988595024593</v>
      </c>
    </row>
    <row r="79" spans="1:8" x14ac:dyDescent="0.25">
      <c r="A79" t="s">
        <v>156</v>
      </c>
      <c r="B79" t="s">
        <v>124</v>
      </c>
      <c r="D79" t="s">
        <v>10</v>
      </c>
      <c r="E79" s="31">
        <v>25.99</v>
      </c>
      <c r="F79" s="31">
        <v>4.5999999999999996</v>
      </c>
      <c r="G79" s="31">
        <v>8311</v>
      </c>
      <c r="H79">
        <v>9.0254555327790627</v>
      </c>
    </row>
    <row r="80" spans="1:8" hidden="1" x14ac:dyDescent="0.25">
      <c r="A80" t="s">
        <v>157</v>
      </c>
      <c r="B80" t="s">
        <v>40</v>
      </c>
      <c r="D80" t="s">
        <v>10</v>
      </c>
      <c r="E80" s="31"/>
      <c r="F80" s="31">
        <v>4.2</v>
      </c>
      <c r="G80" s="31">
        <v>4051</v>
      </c>
      <c r="H80">
        <v>8.3069658653685732</v>
      </c>
    </row>
    <row r="81" spans="1:8" hidden="1" x14ac:dyDescent="0.25">
      <c r="A81" t="s">
        <v>158</v>
      </c>
      <c r="B81" t="s">
        <v>159</v>
      </c>
      <c r="D81" t="s">
        <v>10</v>
      </c>
      <c r="E81" s="31"/>
      <c r="F81" s="31">
        <v>4.3</v>
      </c>
      <c r="G81" s="31">
        <v>1641</v>
      </c>
      <c r="H81">
        <v>7.4036702900123732</v>
      </c>
    </row>
    <row r="82" spans="1:8" x14ac:dyDescent="0.25">
      <c r="A82" t="s">
        <v>160</v>
      </c>
      <c r="B82" t="s">
        <v>161</v>
      </c>
      <c r="C82" t="s">
        <v>81</v>
      </c>
      <c r="D82" t="s">
        <v>10</v>
      </c>
      <c r="E82" s="31">
        <v>49.1</v>
      </c>
      <c r="F82" s="31">
        <v>4.7</v>
      </c>
      <c r="G82" s="31">
        <v>1316</v>
      </c>
      <c r="H82">
        <v>7.1831117017432806</v>
      </c>
    </row>
    <row r="83" spans="1:8" hidden="1" x14ac:dyDescent="0.25">
      <c r="A83" t="s">
        <v>162</v>
      </c>
      <c r="B83" t="s">
        <v>163</v>
      </c>
      <c r="D83" t="s">
        <v>10</v>
      </c>
      <c r="E83" s="31"/>
      <c r="F83" s="31">
        <v>4.3</v>
      </c>
      <c r="G83" s="31">
        <v>1897</v>
      </c>
      <c r="H83">
        <v>7.5485559791698726</v>
      </c>
    </row>
    <row r="84" spans="1:8" hidden="1" x14ac:dyDescent="0.25">
      <c r="A84" t="s">
        <v>164</v>
      </c>
      <c r="B84" t="s">
        <v>165</v>
      </c>
      <c r="D84" t="s">
        <v>10</v>
      </c>
      <c r="E84" s="31"/>
      <c r="F84" s="31">
        <v>4.7</v>
      </c>
      <c r="G84" s="31">
        <v>3308</v>
      </c>
      <c r="H84">
        <v>8.1044013079216111</v>
      </c>
    </row>
    <row r="85" spans="1:8" x14ac:dyDescent="0.25">
      <c r="A85" t="s">
        <v>166</v>
      </c>
      <c r="B85" t="s">
        <v>167</v>
      </c>
      <c r="D85" t="s">
        <v>10</v>
      </c>
      <c r="E85" s="31">
        <v>19.989999999999998</v>
      </c>
      <c r="F85" s="31">
        <v>4.5</v>
      </c>
      <c r="G85" s="31">
        <v>629</v>
      </c>
      <c r="H85">
        <v>6.4457198193855776</v>
      </c>
    </row>
    <row r="86" spans="1:8" x14ac:dyDescent="0.25">
      <c r="A86" t="s">
        <v>168</v>
      </c>
      <c r="B86" t="s">
        <v>169</v>
      </c>
      <c r="D86" t="s">
        <v>10</v>
      </c>
      <c r="E86" s="31">
        <v>26.99</v>
      </c>
      <c r="F86" s="31">
        <v>4.5</v>
      </c>
      <c r="G86" s="31">
        <v>502</v>
      </c>
      <c r="H86">
        <v>6.2205901700997392</v>
      </c>
    </row>
    <row r="87" spans="1:8" hidden="1" x14ac:dyDescent="0.25">
      <c r="A87" t="s">
        <v>170</v>
      </c>
      <c r="B87" t="s">
        <v>171</v>
      </c>
      <c r="D87" t="s">
        <v>10</v>
      </c>
      <c r="E87" s="31"/>
      <c r="F87" s="31">
        <v>4.5</v>
      </c>
      <c r="G87" s="31">
        <v>49</v>
      </c>
      <c r="H87">
        <v>3.912023005428146</v>
      </c>
    </row>
    <row r="88" spans="1:8" hidden="1" x14ac:dyDescent="0.25">
      <c r="A88" t="s">
        <v>172</v>
      </c>
      <c r="B88" t="s">
        <v>173</v>
      </c>
      <c r="C88" t="s">
        <v>174</v>
      </c>
      <c r="D88" t="s">
        <v>10</v>
      </c>
      <c r="E88" s="31"/>
      <c r="F88" s="31">
        <v>4.5</v>
      </c>
      <c r="G88" s="31">
        <v>412</v>
      </c>
      <c r="H88">
        <v>6.0234475929610323</v>
      </c>
    </row>
    <row r="89" spans="1:8" hidden="1" x14ac:dyDescent="0.25">
      <c r="A89" t="s">
        <v>175</v>
      </c>
      <c r="B89" t="s">
        <v>169</v>
      </c>
      <c r="D89" t="s">
        <v>10</v>
      </c>
      <c r="E89" s="31"/>
      <c r="F89" s="31">
        <v>4.5</v>
      </c>
      <c r="G89" s="31">
        <v>6109</v>
      </c>
      <c r="H89">
        <v>8.7176820521656406</v>
      </c>
    </row>
    <row r="90" spans="1:8" x14ac:dyDescent="0.25">
      <c r="A90" t="s">
        <v>176</v>
      </c>
      <c r="B90" t="s">
        <v>177</v>
      </c>
      <c r="C90" t="s">
        <v>178</v>
      </c>
      <c r="D90" t="s">
        <v>10</v>
      </c>
      <c r="E90" s="31">
        <v>21.99</v>
      </c>
      <c r="F90" s="31">
        <v>4.4000000000000004</v>
      </c>
      <c r="G90" s="31">
        <v>9245</v>
      </c>
      <c r="H90">
        <v>9.1319463045481708</v>
      </c>
    </row>
    <row r="91" spans="1:8" hidden="1" x14ac:dyDescent="0.25">
      <c r="A91" t="s">
        <v>179</v>
      </c>
      <c r="B91" t="s">
        <v>50</v>
      </c>
      <c r="D91" t="s">
        <v>10</v>
      </c>
      <c r="E91" s="31"/>
      <c r="F91" s="31">
        <v>4.2</v>
      </c>
      <c r="G91" s="31">
        <v>4304</v>
      </c>
      <c r="H91">
        <v>8.367532416861831</v>
      </c>
    </row>
    <row r="92" spans="1:8" x14ac:dyDescent="0.25">
      <c r="A92" t="s">
        <v>180</v>
      </c>
      <c r="B92" t="s">
        <v>57</v>
      </c>
      <c r="C92" t="s">
        <v>181</v>
      </c>
      <c r="D92" t="s">
        <v>10</v>
      </c>
      <c r="E92" s="31">
        <v>19.989999999999998</v>
      </c>
      <c r="F92" s="31">
        <v>4.5</v>
      </c>
      <c r="G92" s="31">
        <v>466</v>
      </c>
      <c r="H92">
        <v>6.1463292576688966</v>
      </c>
    </row>
    <row r="93" spans="1:8" x14ac:dyDescent="0.25">
      <c r="A93" t="s">
        <v>182</v>
      </c>
      <c r="B93" t="s">
        <v>40</v>
      </c>
      <c r="D93" t="s">
        <v>10</v>
      </c>
      <c r="E93" s="31">
        <v>15.99</v>
      </c>
      <c r="F93" s="31">
        <v>4.4000000000000004</v>
      </c>
      <c r="G93" s="31">
        <v>1073</v>
      </c>
      <c r="H93">
        <v>6.9791452750688094</v>
      </c>
    </row>
    <row r="94" spans="1:8" hidden="1" x14ac:dyDescent="0.25">
      <c r="A94" t="s">
        <v>183</v>
      </c>
      <c r="B94" t="s">
        <v>112</v>
      </c>
      <c r="C94" t="s">
        <v>184</v>
      </c>
      <c r="D94" t="s">
        <v>10</v>
      </c>
      <c r="E94" s="31"/>
      <c r="F94" s="31">
        <v>4.5</v>
      </c>
      <c r="G94" s="31">
        <v>8876</v>
      </c>
      <c r="H94">
        <v>9.0912189410683197</v>
      </c>
    </row>
    <row r="95" spans="1:8" hidden="1" x14ac:dyDescent="0.25">
      <c r="A95" t="s">
        <v>185</v>
      </c>
      <c r="B95" t="s">
        <v>140</v>
      </c>
      <c r="C95" t="s">
        <v>186</v>
      </c>
      <c r="D95" t="s">
        <v>10</v>
      </c>
      <c r="E95" s="31"/>
      <c r="F95" s="31">
        <v>4.7</v>
      </c>
      <c r="G95" s="31">
        <v>216</v>
      </c>
      <c r="H95">
        <v>5.3798973535404597</v>
      </c>
    </row>
    <row r="96" spans="1:8" x14ac:dyDescent="0.25">
      <c r="A96" t="s">
        <v>187</v>
      </c>
      <c r="B96" t="s">
        <v>50</v>
      </c>
      <c r="D96" t="s">
        <v>10</v>
      </c>
      <c r="E96" s="31">
        <v>33.99</v>
      </c>
      <c r="F96" s="31">
        <v>4.4000000000000004</v>
      </c>
      <c r="G96" s="31">
        <v>935</v>
      </c>
      <c r="H96">
        <v>6.8416154764775916</v>
      </c>
    </row>
    <row r="97" spans="1:8" hidden="1" x14ac:dyDescent="0.25">
      <c r="A97" t="s">
        <v>188</v>
      </c>
      <c r="B97" t="s">
        <v>189</v>
      </c>
      <c r="D97" t="s">
        <v>10</v>
      </c>
      <c r="E97" s="31"/>
      <c r="F97" s="31">
        <v>4.3</v>
      </c>
      <c r="G97" s="31">
        <v>6012</v>
      </c>
      <c r="H97">
        <v>8.7016790710395675</v>
      </c>
    </row>
    <row r="98" spans="1:8" hidden="1" x14ac:dyDescent="0.25">
      <c r="A98" t="s">
        <v>190</v>
      </c>
      <c r="B98" t="s">
        <v>191</v>
      </c>
      <c r="D98" t="s">
        <v>10</v>
      </c>
      <c r="E98" s="31"/>
      <c r="F98" s="31">
        <v>4.5999999999999996</v>
      </c>
      <c r="G98" s="31">
        <v>11285</v>
      </c>
      <c r="H98">
        <v>9.3313182985290855</v>
      </c>
    </row>
    <row r="99" spans="1:8" hidden="1" x14ac:dyDescent="0.25">
      <c r="A99" t="s">
        <v>192</v>
      </c>
      <c r="B99" t="s">
        <v>9</v>
      </c>
      <c r="D99" t="s">
        <v>10</v>
      </c>
      <c r="E99" s="31"/>
      <c r="F99" s="31">
        <v>4.5</v>
      </c>
      <c r="G99" s="31">
        <v>8860</v>
      </c>
      <c r="H99">
        <v>9.0894149040473025</v>
      </c>
    </row>
    <row r="100" spans="1:8" hidden="1" x14ac:dyDescent="0.25">
      <c r="A100" t="s">
        <v>193</v>
      </c>
      <c r="B100" t="s">
        <v>131</v>
      </c>
      <c r="D100" t="s">
        <v>10</v>
      </c>
      <c r="E100" s="31"/>
      <c r="F100" s="31">
        <v>4.4000000000000004</v>
      </c>
      <c r="G100" s="31">
        <v>1307</v>
      </c>
      <c r="H100">
        <v>7.1762545320171434</v>
      </c>
    </row>
    <row r="101" spans="1:8" x14ac:dyDescent="0.25">
      <c r="A101" t="s">
        <v>194</v>
      </c>
      <c r="B101" t="s">
        <v>169</v>
      </c>
      <c r="D101" t="s">
        <v>10</v>
      </c>
      <c r="E101" s="31">
        <v>26.99</v>
      </c>
      <c r="F101" s="31">
        <v>4.4000000000000004</v>
      </c>
      <c r="G101" s="31">
        <v>9781</v>
      </c>
      <c r="H101">
        <v>9.188299241099303</v>
      </c>
    </row>
    <row r="102" spans="1:8" hidden="1" x14ac:dyDescent="0.25">
      <c r="A102" t="s">
        <v>195</v>
      </c>
      <c r="B102" t="s">
        <v>105</v>
      </c>
      <c r="C102" t="s">
        <v>196</v>
      </c>
      <c r="D102" t="s">
        <v>10</v>
      </c>
      <c r="E102" s="31"/>
      <c r="F102" s="31">
        <v>4.4000000000000004</v>
      </c>
      <c r="G102" s="31">
        <v>6017</v>
      </c>
      <c r="H102">
        <v>8.7025102571899904</v>
      </c>
    </row>
    <row r="103" spans="1:8" x14ac:dyDescent="0.25">
      <c r="A103" t="s">
        <v>197</v>
      </c>
      <c r="B103" t="s">
        <v>177</v>
      </c>
      <c r="C103" t="s">
        <v>178</v>
      </c>
      <c r="D103" t="s">
        <v>10</v>
      </c>
      <c r="E103" s="31">
        <v>21.99</v>
      </c>
      <c r="F103" s="31">
        <v>4.4000000000000004</v>
      </c>
      <c r="G103" s="31">
        <v>12951</v>
      </c>
      <c r="H103">
        <v>9.4690054953574716</v>
      </c>
    </row>
    <row r="104" spans="1:8" hidden="1" x14ac:dyDescent="0.25">
      <c r="A104" t="s">
        <v>198</v>
      </c>
      <c r="B104" t="s">
        <v>199</v>
      </c>
      <c r="D104" t="s">
        <v>10</v>
      </c>
      <c r="E104" s="31"/>
      <c r="F104" s="31">
        <v>4.4000000000000004</v>
      </c>
      <c r="G104" s="31">
        <v>3721</v>
      </c>
      <c r="H104">
        <v>8.2220164372021962</v>
      </c>
    </row>
    <row r="105" spans="1:8" x14ac:dyDescent="0.25">
      <c r="A105" t="s">
        <v>200</v>
      </c>
      <c r="B105" t="s">
        <v>201</v>
      </c>
      <c r="D105" t="s">
        <v>10</v>
      </c>
      <c r="E105" s="31">
        <v>14.99</v>
      </c>
      <c r="F105" s="31">
        <v>4.4000000000000004</v>
      </c>
      <c r="G105" s="31">
        <v>11244</v>
      </c>
      <c r="H105">
        <v>9.3276788643934161</v>
      </c>
    </row>
    <row r="106" spans="1:8" hidden="1" x14ac:dyDescent="0.25">
      <c r="A106" t="s">
        <v>202</v>
      </c>
      <c r="B106" t="s">
        <v>40</v>
      </c>
      <c r="D106" t="s">
        <v>10</v>
      </c>
      <c r="E106" s="31"/>
      <c r="F106" s="31">
        <v>4.4000000000000004</v>
      </c>
      <c r="G106" s="31">
        <v>337</v>
      </c>
      <c r="H106">
        <v>5.8230458954830189</v>
      </c>
    </row>
    <row r="107" spans="1:8" hidden="1" x14ac:dyDescent="0.25">
      <c r="A107" t="s">
        <v>203</v>
      </c>
      <c r="B107" t="s">
        <v>19</v>
      </c>
      <c r="D107" t="s">
        <v>10</v>
      </c>
      <c r="E107" s="31"/>
      <c r="F107" s="31">
        <v>4.3</v>
      </c>
      <c r="G107" s="31">
        <v>4077</v>
      </c>
      <c r="H107">
        <v>8.3133619511344001</v>
      </c>
    </row>
    <row r="108" spans="1:8" x14ac:dyDescent="0.25">
      <c r="A108" t="s">
        <v>204</v>
      </c>
      <c r="B108" t="s">
        <v>205</v>
      </c>
      <c r="C108" t="s">
        <v>206</v>
      </c>
      <c r="D108" t="s">
        <v>10</v>
      </c>
      <c r="E108" s="31">
        <v>14.97</v>
      </c>
      <c r="F108" s="31">
        <v>4.4000000000000004</v>
      </c>
      <c r="G108" s="31">
        <v>713</v>
      </c>
      <c r="H108">
        <v>6.5708829623395841</v>
      </c>
    </row>
    <row r="109" spans="1:8" hidden="1" x14ac:dyDescent="0.25">
      <c r="A109" t="s">
        <v>207</v>
      </c>
      <c r="B109" t="s">
        <v>91</v>
      </c>
      <c r="D109" t="s">
        <v>10</v>
      </c>
      <c r="E109" s="31"/>
      <c r="F109" s="31">
        <v>4.4000000000000004</v>
      </c>
      <c r="G109" s="31">
        <v>23144</v>
      </c>
      <c r="H109">
        <v>10.04953405346537</v>
      </c>
    </row>
    <row r="110" spans="1:8" hidden="1" x14ac:dyDescent="0.25">
      <c r="A110" t="s">
        <v>208</v>
      </c>
      <c r="B110" t="s">
        <v>191</v>
      </c>
      <c r="C110" t="s">
        <v>209</v>
      </c>
      <c r="D110" t="s">
        <v>10</v>
      </c>
      <c r="E110" s="31"/>
      <c r="F110" s="31">
        <v>4.4000000000000004</v>
      </c>
      <c r="G110" s="31">
        <v>4536</v>
      </c>
      <c r="H110">
        <v>8.4200212796639633</v>
      </c>
    </row>
    <row r="111" spans="1:8" x14ac:dyDescent="0.25">
      <c r="A111" t="s">
        <v>210</v>
      </c>
      <c r="B111" t="s">
        <v>131</v>
      </c>
      <c r="C111" t="s">
        <v>211</v>
      </c>
      <c r="D111" t="s">
        <v>10</v>
      </c>
      <c r="E111" s="31">
        <v>7.0000000000000001E-3</v>
      </c>
      <c r="F111" s="31">
        <v>4.5</v>
      </c>
      <c r="G111" s="31">
        <v>2918</v>
      </c>
      <c r="H111">
        <v>7.9789963708541141</v>
      </c>
    </row>
    <row r="112" spans="1:8" x14ac:dyDescent="0.25">
      <c r="A112" t="s">
        <v>212</v>
      </c>
      <c r="B112" t="s">
        <v>213</v>
      </c>
      <c r="D112" t="s">
        <v>10</v>
      </c>
      <c r="E112" s="31">
        <v>15.99</v>
      </c>
      <c r="F112" s="31">
        <v>4.3</v>
      </c>
      <c r="G112" s="31">
        <v>4333</v>
      </c>
      <c r="H112">
        <v>8.3742461820963037</v>
      </c>
    </row>
    <row r="113" spans="1:8" hidden="1" x14ac:dyDescent="0.25">
      <c r="A113" t="s">
        <v>214</v>
      </c>
      <c r="B113" t="s">
        <v>26</v>
      </c>
      <c r="C113" t="s">
        <v>215</v>
      </c>
      <c r="D113" t="s">
        <v>10</v>
      </c>
      <c r="E113" s="31"/>
      <c r="F113" s="31">
        <v>4.2</v>
      </c>
      <c r="G113" s="31">
        <v>854</v>
      </c>
      <c r="H113">
        <v>6.7511014689367599</v>
      </c>
    </row>
    <row r="114" spans="1:8" hidden="1" x14ac:dyDescent="0.25">
      <c r="A114" t="s">
        <v>216</v>
      </c>
      <c r="B114" t="s">
        <v>217</v>
      </c>
      <c r="D114" t="s">
        <v>10</v>
      </c>
      <c r="E114" s="31"/>
      <c r="F114" s="31">
        <v>4.4000000000000004</v>
      </c>
      <c r="G114" s="31">
        <v>504</v>
      </c>
      <c r="H114">
        <v>6.2245584292753593</v>
      </c>
    </row>
    <row r="115" spans="1:8" x14ac:dyDescent="0.25">
      <c r="A115" t="s">
        <v>218</v>
      </c>
      <c r="B115" t="s">
        <v>191</v>
      </c>
      <c r="D115" t="s">
        <v>10</v>
      </c>
      <c r="E115" s="31">
        <v>19.989999999999998</v>
      </c>
      <c r="F115" s="31">
        <v>4.5</v>
      </c>
      <c r="G115" s="31">
        <v>5389</v>
      </c>
      <c r="H115">
        <v>8.5923006639030426</v>
      </c>
    </row>
    <row r="116" spans="1:8" hidden="1" x14ac:dyDescent="0.25">
      <c r="A116" t="s">
        <v>219</v>
      </c>
      <c r="B116" t="s">
        <v>45</v>
      </c>
      <c r="D116" t="s">
        <v>10</v>
      </c>
      <c r="E116" s="31"/>
      <c r="F116" s="31">
        <v>4.5</v>
      </c>
      <c r="G116" s="31">
        <v>8012</v>
      </c>
      <c r="H116">
        <v>8.9888205017780702</v>
      </c>
    </row>
    <row r="117" spans="1:8" x14ac:dyDescent="0.25">
      <c r="A117" t="s">
        <v>220</v>
      </c>
      <c r="B117" t="s">
        <v>221</v>
      </c>
      <c r="D117" t="s">
        <v>10</v>
      </c>
      <c r="E117" s="31">
        <v>15.98</v>
      </c>
      <c r="F117" s="31">
        <v>4.3</v>
      </c>
      <c r="G117" s="31">
        <v>11103</v>
      </c>
      <c r="H117">
        <v>9.3150606827465854</v>
      </c>
    </row>
    <row r="118" spans="1:8" hidden="1" x14ac:dyDescent="0.25">
      <c r="A118" t="s">
        <v>222</v>
      </c>
      <c r="B118" t="s">
        <v>191</v>
      </c>
      <c r="D118" t="s">
        <v>10</v>
      </c>
      <c r="E118" s="31"/>
      <c r="F118" s="31">
        <v>4.5999999999999996</v>
      </c>
      <c r="G118" s="31">
        <v>8627</v>
      </c>
      <c r="H118">
        <v>9.062768007509046</v>
      </c>
    </row>
    <row r="119" spans="1:8" hidden="1" x14ac:dyDescent="0.25">
      <c r="A119" t="s">
        <v>223</v>
      </c>
      <c r="B119" t="s">
        <v>124</v>
      </c>
      <c r="D119" t="s">
        <v>10</v>
      </c>
      <c r="E119" s="31"/>
      <c r="F119" s="31">
        <v>4.7</v>
      </c>
      <c r="G119" s="31">
        <v>139</v>
      </c>
      <c r="H119">
        <v>4.9416424226093039</v>
      </c>
    </row>
    <row r="120" spans="1:8" x14ac:dyDescent="0.25">
      <c r="A120" t="s">
        <v>224</v>
      </c>
      <c r="B120" t="s">
        <v>225</v>
      </c>
      <c r="D120" t="s">
        <v>10</v>
      </c>
      <c r="E120" s="31">
        <v>24.99</v>
      </c>
      <c r="F120" s="31">
        <v>4.3</v>
      </c>
      <c r="G120" s="31">
        <v>5539</v>
      </c>
      <c r="H120">
        <v>8.6197497797413298</v>
      </c>
    </row>
    <row r="121" spans="1:8" x14ac:dyDescent="0.25">
      <c r="A121" t="s">
        <v>226</v>
      </c>
      <c r="B121" t="s">
        <v>64</v>
      </c>
      <c r="D121" t="s">
        <v>10</v>
      </c>
      <c r="E121" s="31">
        <v>12.09</v>
      </c>
      <c r="F121" s="31">
        <v>4.2</v>
      </c>
      <c r="G121" s="31">
        <v>2690</v>
      </c>
      <c r="H121">
        <v>7.897668150726906</v>
      </c>
    </row>
    <row r="122" spans="1:8" x14ac:dyDescent="0.25">
      <c r="A122" t="s">
        <v>227</v>
      </c>
      <c r="B122" t="s">
        <v>228</v>
      </c>
      <c r="C122" t="s">
        <v>229</v>
      </c>
      <c r="D122" t="s">
        <v>10</v>
      </c>
      <c r="E122" s="31">
        <v>14.48</v>
      </c>
      <c r="F122" s="31">
        <v>4.3</v>
      </c>
      <c r="G122" s="31">
        <v>23148</v>
      </c>
      <c r="H122">
        <v>10.049706862037111</v>
      </c>
    </row>
    <row r="123" spans="1:8" hidden="1" x14ac:dyDescent="0.25">
      <c r="A123" t="s">
        <v>230</v>
      </c>
      <c r="B123" t="s">
        <v>112</v>
      </c>
      <c r="C123" t="s">
        <v>231</v>
      </c>
      <c r="D123" t="s">
        <v>10</v>
      </c>
      <c r="E123" s="31"/>
      <c r="F123" s="31">
        <v>4.5999999999999996</v>
      </c>
      <c r="G123" s="31">
        <v>4855</v>
      </c>
      <c r="H123">
        <v>8.4879703327393337</v>
      </c>
    </row>
    <row r="124" spans="1:8" hidden="1" x14ac:dyDescent="0.25">
      <c r="A124" t="s">
        <v>232</v>
      </c>
      <c r="B124" t="s">
        <v>22</v>
      </c>
      <c r="D124" t="s">
        <v>10</v>
      </c>
      <c r="E124" s="31"/>
      <c r="F124" s="31">
        <v>4.5</v>
      </c>
      <c r="G124" s="31">
        <v>42243</v>
      </c>
      <c r="H124">
        <v>10.651217610866359</v>
      </c>
    </row>
    <row r="125" spans="1:8" hidden="1" x14ac:dyDescent="0.25">
      <c r="A125" t="s">
        <v>233</v>
      </c>
      <c r="B125" t="s">
        <v>234</v>
      </c>
      <c r="D125" t="s">
        <v>10</v>
      </c>
      <c r="E125" s="31"/>
      <c r="F125" s="31">
        <v>4.3</v>
      </c>
      <c r="G125" s="31">
        <v>3254</v>
      </c>
      <c r="H125">
        <v>8.0879475546426693</v>
      </c>
    </row>
    <row r="126" spans="1:8" x14ac:dyDescent="0.25">
      <c r="A126" t="s">
        <v>235</v>
      </c>
      <c r="B126" t="s">
        <v>236</v>
      </c>
      <c r="D126" t="s">
        <v>10</v>
      </c>
      <c r="E126" s="31">
        <v>29.99</v>
      </c>
      <c r="F126" s="31">
        <v>4.2</v>
      </c>
      <c r="G126" s="31">
        <v>2172</v>
      </c>
      <c r="H126">
        <v>7.6838639802564286</v>
      </c>
    </row>
    <row r="127" spans="1:8" hidden="1" x14ac:dyDescent="0.25">
      <c r="A127" t="s">
        <v>237</v>
      </c>
      <c r="B127" t="s">
        <v>238</v>
      </c>
      <c r="D127" t="s">
        <v>10</v>
      </c>
      <c r="E127" s="31"/>
      <c r="F127" s="31">
        <v>4.3</v>
      </c>
      <c r="G127" s="31">
        <v>5504</v>
      </c>
      <c r="H127">
        <v>8.6134120491567803</v>
      </c>
    </row>
    <row r="128" spans="1:8" hidden="1" x14ac:dyDescent="0.25">
      <c r="A128" t="s">
        <v>239</v>
      </c>
      <c r="B128" t="s">
        <v>240</v>
      </c>
      <c r="C128" t="s">
        <v>241</v>
      </c>
      <c r="D128" t="s">
        <v>10</v>
      </c>
      <c r="E128" s="31"/>
      <c r="F128" s="31">
        <v>4.3</v>
      </c>
      <c r="G128" s="31">
        <v>4750</v>
      </c>
      <c r="H128">
        <v>8.4661104011869206</v>
      </c>
    </row>
    <row r="129" spans="1:8" hidden="1" x14ac:dyDescent="0.25">
      <c r="A129" t="s">
        <v>242</v>
      </c>
      <c r="B129" t="s">
        <v>45</v>
      </c>
      <c r="D129" t="s">
        <v>10</v>
      </c>
      <c r="E129" s="31"/>
      <c r="F129" s="31">
        <v>4.3</v>
      </c>
      <c r="G129" s="31">
        <v>1075</v>
      </c>
      <c r="H129">
        <v>6.9810057407217299</v>
      </c>
    </row>
    <row r="130" spans="1:8" x14ac:dyDescent="0.25">
      <c r="A130" t="s">
        <v>243</v>
      </c>
      <c r="B130" t="s">
        <v>9</v>
      </c>
      <c r="D130" t="s">
        <v>10</v>
      </c>
      <c r="E130" s="31">
        <v>14.99</v>
      </c>
      <c r="F130" s="31">
        <v>4.5</v>
      </c>
      <c r="G130" s="31">
        <v>668</v>
      </c>
      <c r="H130">
        <v>6.505784060128228</v>
      </c>
    </row>
    <row r="131" spans="1:8" hidden="1" x14ac:dyDescent="0.25">
      <c r="A131" t="s">
        <v>244</v>
      </c>
      <c r="B131" t="s">
        <v>245</v>
      </c>
      <c r="D131" t="s">
        <v>10</v>
      </c>
      <c r="E131" s="31"/>
      <c r="F131" s="31">
        <v>4.2</v>
      </c>
      <c r="G131" s="31">
        <v>715</v>
      </c>
      <c r="H131">
        <v>6.5736801669606457</v>
      </c>
    </row>
    <row r="132" spans="1:8" hidden="1" x14ac:dyDescent="0.25">
      <c r="A132" t="s">
        <v>246</v>
      </c>
      <c r="B132" t="s">
        <v>247</v>
      </c>
      <c r="D132" t="s">
        <v>10</v>
      </c>
      <c r="E132" s="31"/>
      <c r="F132" s="31">
        <v>4.3</v>
      </c>
      <c r="G132" s="31">
        <v>3154</v>
      </c>
      <c r="H132">
        <v>8.0567437749753132</v>
      </c>
    </row>
    <row r="133" spans="1:8" x14ac:dyDescent="0.25">
      <c r="A133" t="s">
        <v>248</v>
      </c>
      <c r="B133" t="s">
        <v>173</v>
      </c>
      <c r="C133" t="s">
        <v>249</v>
      </c>
      <c r="D133" t="s">
        <v>10</v>
      </c>
      <c r="E133" s="31">
        <v>37.229999999999997</v>
      </c>
      <c r="F133" s="31">
        <v>4.5</v>
      </c>
      <c r="G133" s="31">
        <v>1375</v>
      </c>
      <c r="H133">
        <v>7.2269360184932889</v>
      </c>
    </row>
    <row r="134" spans="1:8" x14ac:dyDescent="0.25">
      <c r="A134" t="s">
        <v>250</v>
      </c>
      <c r="B134" t="s">
        <v>251</v>
      </c>
      <c r="D134" t="s">
        <v>10</v>
      </c>
      <c r="E134" s="31">
        <v>14.99</v>
      </c>
      <c r="F134" s="31">
        <v>4.5999999999999996</v>
      </c>
      <c r="G134" s="31">
        <v>555</v>
      </c>
      <c r="H134">
        <v>6.3207682942505823</v>
      </c>
    </row>
    <row r="135" spans="1:8" hidden="1" x14ac:dyDescent="0.25">
      <c r="A135" t="s">
        <v>252</v>
      </c>
      <c r="B135" t="s">
        <v>253</v>
      </c>
      <c r="D135" t="s">
        <v>10</v>
      </c>
      <c r="E135" s="31"/>
      <c r="F135" s="31">
        <v>4.5</v>
      </c>
      <c r="G135" s="31">
        <v>9206</v>
      </c>
      <c r="H135">
        <v>9.1277193432878452</v>
      </c>
    </row>
    <row r="136" spans="1:8" hidden="1" x14ac:dyDescent="0.25">
      <c r="A136" t="s">
        <v>254</v>
      </c>
      <c r="B136" t="s">
        <v>236</v>
      </c>
      <c r="D136" t="s">
        <v>10</v>
      </c>
      <c r="E136" s="31"/>
      <c r="F136" s="31">
        <v>4.3</v>
      </c>
      <c r="G136" s="31">
        <v>3038</v>
      </c>
      <c r="H136">
        <v>8.0192837929167933</v>
      </c>
    </row>
    <row r="137" spans="1:8" hidden="1" x14ac:dyDescent="0.25">
      <c r="A137" t="s">
        <v>255</v>
      </c>
      <c r="B137" t="s">
        <v>19</v>
      </c>
      <c r="D137" t="s">
        <v>10</v>
      </c>
      <c r="E137" s="31"/>
      <c r="F137" s="31">
        <v>4.4000000000000004</v>
      </c>
      <c r="G137" s="31">
        <v>14782</v>
      </c>
      <c r="H137">
        <v>9.6012331509010895</v>
      </c>
    </row>
    <row r="138" spans="1:8" hidden="1" x14ac:dyDescent="0.25">
      <c r="A138" t="s">
        <v>256</v>
      </c>
      <c r="B138" t="s">
        <v>257</v>
      </c>
      <c r="D138" t="s">
        <v>10</v>
      </c>
      <c r="E138" s="31"/>
      <c r="F138" s="31">
        <v>4.4000000000000004</v>
      </c>
      <c r="G138" s="31">
        <v>8797</v>
      </c>
      <c r="H138">
        <v>9.0822797019086643</v>
      </c>
    </row>
    <row r="139" spans="1:8" x14ac:dyDescent="0.25">
      <c r="A139" t="s">
        <v>258</v>
      </c>
      <c r="B139" t="s">
        <v>205</v>
      </c>
      <c r="C139" t="s">
        <v>259</v>
      </c>
      <c r="D139" t="s">
        <v>10</v>
      </c>
      <c r="E139" s="31">
        <v>14.97</v>
      </c>
      <c r="F139" s="31">
        <v>4.5999999999999996</v>
      </c>
      <c r="G139" s="31">
        <v>375</v>
      </c>
      <c r="H139">
        <v>5.9295891433898946</v>
      </c>
    </row>
    <row r="140" spans="1:8" hidden="1" x14ac:dyDescent="0.25">
      <c r="A140" t="s">
        <v>260</v>
      </c>
      <c r="B140" t="s">
        <v>261</v>
      </c>
      <c r="D140" t="s">
        <v>10</v>
      </c>
      <c r="E140" s="31"/>
      <c r="F140" s="31">
        <v>4.5999999999999996</v>
      </c>
      <c r="G140" s="31">
        <v>1353</v>
      </c>
      <c r="H140">
        <v>7.2108184534722204</v>
      </c>
    </row>
    <row r="141" spans="1:8" x14ac:dyDescent="0.25">
      <c r="A141" t="s">
        <v>262</v>
      </c>
      <c r="B141" t="s">
        <v>263</v>
      </c>
      <c r="D141" t="s">
        <v>10</v>
      </c>
      <c r="E141" s="31">
        <v>16.8</v>
      </c>
      <c r="F141" s="31">
        <v>4.5</v>
      </c>
      <c r="G141" s="31">
        <v>1082</v>
      </c>
      <c r="H141">
        <v>6.9874902470009914</v>
      </c>
    </row>
    <row r="142" spans="1:8" hidden="1" x14ac:dyDescent="0.25">
      <c r="A142" t="s">
        <v>264</v>
      </c>
      <c r="B142" t="s">
        <v>265</v>
      </c>
      <c r="D142" t="s">
        <v>10</v>
      </c>
      <c r="E142" s="31"/>
      <c r="F142" s="31">
        <v>4.3</v>
      </c>
      <c r="G142" s="31">
        <v>2207</v>
      </c>
      <c r="H142">
        <v>7.6998424073969858</v>
      </c>
    </row>
    <row r="143" spans="1:8" x14ac:dyDescent="0.25">
      <c r="A143" t="s">
        <v>266</v>
      </c>
      <c r="B143" t="s">
        <v>225</v>
      </c>
      <c r="D143" t="s">
        <v>10</v>
      </c>
      <c r="E143" s="31">
        <v>27.99</v>
      </c>
      <c r="F143" s="31">
        <v>4.3</v>
      </c>
      <c r="G143" s="31">
        <v>2124</v>
      </c>
      <c r="H143">
        <v>7.6615270813585168</v>
      </c>
    </row>
    <row r="144" spans="1:8" hidden="1" x14ac:dyDescent="0.25">
      <c r="A144" t="s">
        <v>267</v>
      </c>
      <c r="B144" t="s">
        <v>268</v>
      </c>
      <c r="D144" t="s">
        <v>10</v>
      </c>
      <c r="E144" s="31"/>
      <c r="F144" s="31">
        <v>4.2</v>
      </c>
      <c r="G144" s="31">
        <v>2115</v>
      </c>
      <c r="H144">
        <v>7.6572827929781901</v>
      </c>
    </row>
    <row r="145" spans="1:8" hidden="1" x14ac:dyDescent="0.25">
      <c r="A145" t="s">
        <v>269</v>
      </c>
      <c r="B145" t="s">
        <v>169</v>
      </c>
      <c r="D145" t="s">
        <v>10</v>
      </c>
      <c r="E145" s="31"/>
      <c r="F145" s="31">
        <v>4.4000000000000004</v>
      </c>
      <c r="G145" s="31">
        <v>2941</v>
      </c>
      <c r="H145">
        <v>7.9868449011613816</v>
      </c>
    </row>
    <row r="146" spans="1:8" x14ac:dyDescent="0.25">
      <c r="A146" t="s">
        <v>270</v>
      </c>
      <c r="B146" t="s">
        <v>112</v>
      </c>
      <c r="D146" t="s">
        <v>10</v>
      </c>
      <c r="E146" s="31">
        <v>7.0000000000000001E-3</v>
      </c>
      <c r="F146" s="31">
        <v>4.5999999999999996</v>
      </c>
      <c r="G146" s="31">
        <v>21137</v>
      </c>
      <c r="H146">
        <v>9.9588276475692918</v>
      </c>
    </row>
    <row r="147" spans="1:8" hidden="1" x14ac:dyDescent="0.25">
      <c r="A147" t="s">
        <v>271</v>
      </c>
      <c r="B147" t="s">
        <v>26</v>
      </c>
      <c r="C147" t="s">
        <v>272</v>
      </c>
      <c r="D147" t="s">
        <v>10</v>
      </c>
      <c r="E147" s="31"/>
      <c r="F147" s="31">
        <v>4.2</v>
      </c>
      <c r="G147" s="31">
        <v>1035</v>
      </c>
      <c r="H147">
        <v>6.9431224228194282</v>
      </c>
    </row>
    <row r="148" spans="1:8" hidden="1" x14ac:dyDescent="0.25">
      <c r="A148" t="s">
        <v>273</v>
      </c>
      <c r="B148" t="s">
        <v>131</v>
      </c>
      <c r="C148" t="s">
        <v>274</v>
      </c>
      <c r="D148" t="s">
        <v>10</v>
      </c>
      <c r="E148" s="31"/>
      <c r="F148" s="31">
        <v>4.5999999999999996</v>
      </c>
      <c r="G148" s="31">
        <v>2147</v>
      </c>
      <c r="H148">
        <v>7.6722924556287548</v>
      </c>
    </row>
    <row r="149" spans="1:8" x14ac:dyDescent="0.25">
      <c r="A149" t="s">
        <v>275</v>
      </c>
      <c r="B149" t="s">
        <v>276</v>
      </c>
      <c r="C149" t="s">
        <v>277</v>
      </c>
      <c r="D149" t="s">
        <v>10</v>
      </c>
      <c r="E149" s="31">
        <v>13.97</v>
      </c>
      <c r="F149" s="31">
        <v>4.5999999999999996</v>
      </c>
      <c r="G149" s="31">
        <v>89</v>
      </c>
      <c r="H149">
        <v>4.499809670330265</v>
      </c>
    </row>
    <row r="150" spans="1:8" x14ac:dyDescent="0.25">
      <c r="A150" t="s">
        <v>278</v>
      </c>
      <c r="B150" t="s">
        <v>124</v>
      </c>
      <c r="D150" t="s">
        <v>10</v>
      </c>
      <c r="E150" s="31">
        <v>25.99</v>
      </c>
      <c r="F150" s="31">
        <v>4.5</v>
      </c>
      <c r="G150" s="31">
        <v>707</v>
      </c>
      <c r="H150">
        <v>6.5624440936937196</v>
      </c>
    </row>
    <row r="151" spans="1:8" hidden="1" x14ac:dyDescent="0.25">
      <c r="A151" t="s">
        <v>279</v>
      </c>
      <c r="B151" t="s">
        <v>280</v>
      </c>
      <c r="D151" t="s">
        <v>10</v>
      </c>
      <c r="E151" s="31"/>
      <c r="F151" s="31">
        <v>4.4000000000000004</v>
      </c>
      <c r="G151" s="31">
        <v>2885</v>
      </c>
      <c r="H151">
        <v>7.9676267393338156</v>
      </c>
    </row>
    <row r="152" spans="1:8" hidden="1" x14ac:dyDescent="0.25">
      <c r="A152" t="s">
        <v>281</v>
      </c>
      <c r="B152" t="s">
        <v>282</v>
      </c>
      <c r="D152" t="s">
        <v>10</v>
      </c>
      <c r="E152" s="31"/>
      <c r="F152" s="31">
        <v>4.5</v>
      </c>
      <c r="G152" s="31">
        <v>546</v>
      </c>
      <c r="H152">
        <v>6.3044488024219811</v>
      </c>
    </row>
    <row r="153" spans="1:8" hidden="1" x14ac:dyDescent="0.25">
      <c r="A153" t="s">
        <v>283</v>
      </c>
      <c r="B153" t="s">
        <v>284</v>
      </c>
      <c r="C153" t="s">
        <v>285</v>
      </c>
      <c r="D153" t="s">
        <v>10</v>
      </c>
      <c r="E153" s="31"/>
      <c r="F153" s="31">
        <v>4.5</v>
      </c>
      <c r="G153" s="31">
        <v>146</v>
      </c>
      <c r="H153">
        <v>4.990432586778736</v>
      </c>
    </row>
    <row r="154" spans="1:8" hidden="1" x14ac:dyDescent="0.25">
      <c r="A154" t="s">
        <v>286</v>
      </c>
      <c r="B154" t="s">
        <v>24</v>
      </c>
      <c r="D154" t="s">
        <v>10</v>
      </c>
      <c r="E154" s="31"/>
      <c r="F154" s="31">
        <v>4.5</v>
      </c>
      <c r="G154" s="31">
        <v>4286</v>
      </c>
      <c r="H154">
        <v>8.3633424665979774</v>
      </c>
    </row>
    <row r="155" spans="1:8" x14ac:dyDescent="0.25">
      <c r="A155" t="s">
        <v>287</v>
      </c>
      <c r="B155" t="s">
        <v>112</v>
      </c>
      <c r="C155" t="s">
        <v>288</v>
      </c>
      <c r="D155" t="s">
        <v>10</v>
      </c>
      <c r="E155" s="31">
        <v>7.0000000000000001E-3</v>
      </c>
      <c r="F155" s="31">
        <v>4.5</v>
      </c>
      <c r="G155" s="31">
        <v>352</v>
      </c>
      <c r="H155">
        <v>5.8664680569332974</v>
      </c>
    </row>
    <row r="156" spans="1:8" x14ac:dyDescent="0.25">
      <c r="A156" t="s">
        <v>289</v>
      </c>
      <c r="B156" t="s">
        <v>32</v>
      </c>
      <c r="C156" t="s">
        <v>290</v>
      </c>
      <c r="D156" t="s">
        <v>10</v>
      </c>
      <c r="E156" s="31">
        <v>16.98</v>
      </c>
      <c r="F156" s="31">
        <v>4.5</v>
      </c>
      <c r="G156" s="31">
        <v>1507</v>
      </c>
      <c r="H156">
        <v>7.3185395485679008</v>
      </c>
    </row>
    <row r="157" spans="1:8" hidden="1" x14ac:dyDescent="0.25">
      <c r="A157" t="s">
        <v>291</v>
      </c>
      <c r="B157" t="s">
        <v>131</v>
      </c>
      <c r="C157" t="s">
        <v>292</v>
      </c>
      <c r="D157" t="s">
        <v>10</v>
      </c>
      <c r="E157" s="31"/>
      <c r="F157" s="31">
        <v>4.5999999999999996</v>
      </c>
      <c r="G157" s="31">
        <v>4962</v>
      </c>
      <c r="H157">
        <v>8.50976567558744</v>
      </c>
    </row>
    <row r="158" spans="1:8" hidden="1" x14ac:dyDescent="0.25">
      <c r="A158" t="s">
        <v>293</v>
      </c>
      <c r="B158" t="s">
        <v>294</v>
      </c>
      <c r="D158" t="s">
        <v>10</v>
      </c>
      <c r="E158" s="31"/>
      <c r="F158" s="31">
        <v>4.4000000000000004</v>
      </c>
      <c r="G158" s="31">
        <v>2431</v>
      </c>
      <c r="H158">
        <v>7.7964692430860572</v>
      </c>
    </row>
    <row r="159" spans="1:8" x14ac:dyDescent="0.25">
      <c r="A159" t="s">
        <v>295</v>
      </c>
      <c r="B159" t="s">
        <v>9</v>
      </c>
      <c r="D159" t="s">
        <v>10</v>
      </c>
      <c r="E159" s="31">
        <v>13.99</v>
      </c>
      <c r="F159" s="31">
        <v>4.3</v>
      </c>
      <c r="G159" s="31">
        <v>51</v>
      </c>
      <c r="H159">
        <v>3.9512437185814271</v>
      </c>
    </row>
    <row r="160" spans="1:8" x14ac:dyDescent="0.25">
      <c r="A160" t="s">
        <v>296</v>
      </c>
      <c r="B160" t="s">
        <v>64</v>
      </c>
      <c r="D160" t="s">
        <v>10</v>
      </c>
      <c r="E160" s="31">
        <v>10.99</v>
      </c>
      <c r="F160" s="31">
        <v>4.4000000000000004</v>
      </c>
      <c r="G160" s="31">
        <v>16454</v>
      </c>
      <c r="H160">
        <v>9.7083846613774405</v>
      </c>
    </row>
    <row r="161" spans="1:8" hidden="1" x14ac:dyDescent="0.25">
      <c r="A161" t="s">
        <v>297</v>
      </c>
      <c r="B161" t="s">
        <v>298</v>
      </c>
      <c r="D161" t="s">
        <v>10</v>
      </c>
      <c r="E161" s="31"/>
      <c r="F161" s="31">
        <v>4.3</v>
      </c>
      <c r="G161" s="31">
        <v>3590</v>
      </c>
      <c r="H161">
        <v>8.1861859942260828</v>
      </c>
    </row>
    <row r="162" spans="1:8" hidden="1" x14ac:dyDescent="0.25">
      <c r="A162" t="s">
        <v>299</v>
      </c>
      <c r="B162" t="s">
        <v>300</v>
      </c>
      <c r="C162" t="s">
        <v>301</v>
      </c>
      <c r="D162" t="s">
        <v>10</v>
      </c>
      <c r="E162" s="31"/>
      <c r="F162" s="31">
        <v>4.4000000000000004</v>
      </c>
      <c r="G162" s="31">
        <v>1820</v>
      </c>
      <c r="H162">
        <v>7.5071410797276066</v>
      </c>
    </row>
    <row r="163" spans="1:8" x14ac:dyDescent="0.25">
      <c r="A163" t="s">
        <v>302</v>
      </c>
      <c r="B163" t="s">
        <v>95</v>
      </c>
      <c r="D163" t="s">
        <v>10</v>
      </c>
      <c r="E163" s="31">
        <v>16.989999999999998</v>
      </c>
      <c r="F163" s="31">
        <v>4.3</v>
      </c>
      <c r="G163" s="31">
        <v>615</v>
      </c>
      <c r="H163">
        <v>6.4232469635335194</v>
      </c>
    </row>
    <row r="164" spans="1:8" hidden="1" x14ac:dyDescent="0.25">
      <c r="A164" t="s">
        <v>207</v>
      </c>
      <c r="B164" t="s">
        <v>91</v>
      </c>
      <c r="D164" t="s">
        <v>10</v>
      </c>
      <c r="E164" s="31"/>
      <c r="F164" s="31">
        <v>4.4000000000000004</v>
      </c>
      <c r="G164" s="31">
        <v>23144</v>
      </c>
      <c r="H164">
        <v>10.04953405346537</v>
      </c>
    </row>
    <row r="165" spans="1:8" x14ac:dyDescent="0.25">
      <c r="A165" t="s">
        <v>303</v>
      </c>
      <c r="B165" t="s">
        <v>165</v>
      </c>
      <c r="D165" t="s">
        <v>10</v>
      </c>
      <c r="E165" s="31">
        <v>18.989999999999998</v>
      </c>
      <c r="F165" s="31">
        <v>4.2</v>
      </c>
      <c r="G165" s="31">
        <v>1110</v>
      </c>
      <c r="H165">
        <v>7.0130157896396286</v>
      </c>
    </row>
    <row r="166" spans="1:8" x14ac:dyDescent="0.25">
      <c r="A166" t="s">
        <v>304</v>
      </c>
      <c r="B166" t="s">
        <v>305</v>
      </c>
      <c r="D166" t="s">
        <v>10</v>
      </c>
      <c r="E166" s="31">
        <v>18.989999999999998</v>
      </c>
      <c r="F166" s="31">
        <v>4.5</v>
      </c>
      <c r="G166" s="31">
        <v>183</v>
      </c>
      <c r="H166">
        <v>5.2149357576089859</v>
      </c>
    </row>
    <row r="167" spans="1:8" hidden="1" x14ac:dyDescent="0.25">
      <c r="A167" t="s">
        <v>306</v>
      </c>
      <c r="B167" t="s">
        <v>35</v>
      </c>
      <c r="C167" t="s">
        <v>307</v>
      </c>
      <c r="D167" t="s">
        <v>10</v>
      </c>
      <c r="E167" s="31"/>
      <c r="F167" s="31">
        <v>3.8</v>
      </c>
      <c r="G167" s="31">
        <v>4718</v>
      </c>
      <c r="H167">
        <v>8.4593521917263867</v>
      </c>
    </row>
    <row r="168" spans="1:8" x14ac:dyDescent="0.25">
      <c r="A168" t="s">
        <v>308</v>
      </c>
      <c r="B168" t="s">
        <v>9</v>
      </c>
      <c r="D168" t="s">
        <v>10</v>
      </c>
      <c r="E168" s="31">
        <v>14.99</v>
      </c>
      <c r="F168" s="31">
        <v>4.7</v>
      </c>
      <c r="G168" s="31">
        <v>676</v>
      </c>
      <c r="H168">
        <v>6.517671272912275</v>
      </c>
    </row>
    <row r="169" spans="1:8" hidden="1" x14ac:dyDescent="0.25">
      <c r="A169" t="s">
        <v>309</v>
      </c>
      <c r="B169" t="s">
        <v>310</v>
      </c>
      <c r="D169" t="s">
        <v>10</v>
      </c>
      <c r="E169" s="31"/>
      <c r="F169" s="31">
        <v>4.4000000000000004</v>
      </c>
      <c r="G169" s="31">
        <v>2280</v>
      </c>
      <c r="H169">
        <v>7.7323692222843876</v>
      </c>
    </row>
    <row r="170" spans="1:8" x14ac:dyDescent="0.25">
      <c r="A170" t="s">
        <v>311</v>
      </c>
      <c r="B170" t="s">
        <v>112</v>
      </c>
      <c r="D170" t="s">
        <v>10</v>
      </c>
      <c r="E170" s="31">
        <v>78</v>
      </c>
      <c r="F170" s="31">
        <v>4.3</v>
      </c>
      <c r="G170" s="31">
        <v>807</v>
      </c>
      <c r="H170">
        <v>6.694562058521095</v>
      </c>
    </row>
    <row r="171" spans="1:8" hidden="1" x14ac:dyDescent="0.25">
      <c r="A171" t="s">
        <v>312</v>
      </c>
      <c r="B171" t="s">
        <v>45</v>
      </c>
      <c r="D171" t="s">
        <v>10</v>
      </c>
      <c r="E171" s="31"/>
      <c r="F171" s="31">
        <v>4.5999999999999996</v>
      </c>
      <c r="G171" s="31">
        <v>1116</v>
      </c>
      <c r="H171">
        <v>7.0184017990692009</v>
      </c>
    </row>
    <row r="172" spans="1:8" x14ac:dyDescent="0.25">
      <c r="A172" t="s">
        <v>313</v>
      </c>
      <c r="B172" t="s">
        <v>16</v>
      </c>
      <c r="D172" t="s">
        <v>10</v>
      </c>
      <c r="E172" s="31">
        <v>8.5</v>
      </c>
      <c r="F172" s="31">
        <v>4.5</v>
      </c>
      <c r="G172" s="31">
        <v>2104</v>
      </c>
      <c r="H172">
        <v>7.6520707461164816</v>
      </c>
    </row>
    <row r="173" spans="1:8" x14ac:dyDescent="0.25">
      <c r="A173" t="s">
        <v>314</v>
      </c>
      <c r="B173" t="s">
        <v>284</v>
      </c>
      <c r="D173" t="s">
        <v>10</v>
      </c>
      <c r="E173" s="31">
        <v>12.99</v>
      </c>
      <c r="F173" s="31">
        <v>4.3</v>
      </c>
      <c r="G173" s="31">
        <v>860</v>
      </c>
      <c r="H173">
        <v>6.7580945044277314</v>
      </c>
    </row>
    <row r="174" spans="1:8" hidden="1" x14ac:dyDescent="0.25">
      <c r="A174" t="s">
        <v>315</v>
      </c>
      <c r="B174" t="s">
        <v>316</v>
      </c>
      <c r="C174" t="s">
        <v>317</v>
      </c>
      <c r="D174" t="s">
        <v>10</v>
      </c>
      <c r="E174" s="31"/>
      <c r="F174" s="31">
        <v>4.3</v>
      </c>
      <c r="G174" s="31">
        <v>75</v>
      </c>
      <c r="H174">
        <v>4.3307333402863311</v>
      </c>
    </row>
    <row r="175" spans="1:8" x14ac:dyDescent="0.25">
      <c r="A175" t="s">
        <v>318</v>
      </c>
      <c r="B175" t="s">
        <v>319</v>
      </c>
      <c r="C175" t="s">
        <v>320</v>
      </c>
      <c r="D175" t="s">
        <v>10</v>
      </c>
      <c r="E175" s="31">
        <v>7.0000000000000001E-3</v>
      </c>
      <c r="F175" s="31">
        <v>4.5999999999999996</v>
      </c>
      <c r="G175" s="31">
        <v>3334</v>
      </c>
      <c r="H175">
        <v>8.1122279583497239</v>
      </c>
    </row>
    <row r="176" spans="1:8" x14ac:dyDescent="0.25">
      <c r="A176" t="s">
        <v>321</v>
      </c>
      <c r="B176" t="s">
        <v>322</v>
      </c>
      <c r="D176" t="s">
        <v>10</v>
      </c>
      <c r="E176" s="31">
        <v>40</v>
      </c>
      <c r="F176" s="31">
        <v>4.5999999999999996</v>
      </c>
      <c r="G176" s="31">
        <v>1218</v>
      </c>
      <c r="H176">
        <v>7.1057861294812712</v>
      </c>
    </row>
    <row r="177" spans="1:8" hidden="1" x14ac:dyDescent="0.25">
      <c r="A177" t="s">
        <v>323</v>
      </c>
      <c r="B177" t="s">
        <v>316</v>
      </c>
      <c r="D177" t="s">
        <v>10</v>
      </c>
      <c r="E177" s="31"/>
      <c r="F177" s="31">
        <v>4.5999999999999996</v>
      </c>
      <c r="G177" s="31">
        <v>90</v>
      </c>
      <c r="H177">
        <v>4.5108595065168497</v>
      </c>
    </row>
    <row r="178" spans="1:8" x14ac:dyDescent="0.25">
      <c r="A178" t="s">
        <v>324</v>
      </c>
      <c r="B178" t="s">
        <v>236</v>
      </c>
      <c r="D178" t="s">
        <v>10</v>
      </c>
      <c r="E178" s="31">
        <v>16.989999999999998</v>
      </c>
      <c r="F178" s="31">
        <v>4.5</v>
      </c>
      <c r="G178" s="31">
        <v>2563</v>
      </c>
      <c r="H178">
        <v>7.8493238180405607</v>
      </c>
    </row>
    <row r="179" spans="1:8" hidden="1" x14ac:dyDescent="0.25">
      <c r="A179" t="s">
        <v>325</v>
      </c>
      <c r="B179" t="s">
        <v>112</v>
      </c>
      <c r="C179" t="s">
        <v>326</v>
      </c>
      <c r="D179" t="s">
        <v>10</v>
      </c>
      <c r="E179" s="31"/>
      <c r="F179" s="31">
        <v>4.5999999999999996</v>
      </c>
      <c r="G179" s="31">
        <v>1062</v>
      </c>
      <c r="H179">
        <v>6.9688503783419478</v>
      </c>
    </row>
    <row r="180" spans="1:8" x14ac:dyDescent="0.25">
      <c r="A180" t="s">
        <v>327</v>
      </c>
      <c r="B180" t="s">
        <v>225</v>
      </c>
      <c r="D180" t="s">
        <v>10</v>
      </c>
      <c r="E180" s="31">
        <v>23.81</v>
      </c>
      <c r="F180" s="31">
        <v>4.3</v>
      </c>
      <c r="G180" s="31">
        <v>2035</v>
      </c>
      <c r="H180">
        <v>7.6187423776704133</v>
      </c>
    </row>
    <row r="181" spans="1:8" hidden="1" x14ac:dyDescent="0.25">
      <c r="A181" t="s">
        <v>328</v>
      </c>
      <c r="B181" t="s">
        <v>112</v>
      </c>
      <c r="C181" t="s">
        <v>288</v>
      </c>
      <c r="D181" t="s">
        <v>10</v>
      </c>
      <c r="E181" s="31"/>
      <c r="F181" s="31">
        <v>4.5</v>
      </c>
      <c r="G181" s="31">
        <v>1288</v>
      </c>
      <c r="H181">
        <v>7.161622002939187</v>
      </c>
    </row>
    <row r="182" spans="1:8" hidden="1" x14ac:dyDescent="0.25">
      <c r="A182" t="s">
        <v>329</v>
      </c>
      <c r="B182" t="s">
        <v>112</v>
      </c>
      <c r="C182" t="s">
        <v>330</v>
      </c>
      <c r="D182" t="s">
        <v>10</v>
      </c>
      <c r="E182" s="31"/>
      <c r="F182" s="31">
        <v>4.4000000000000004</v>
      </c>
      <c r="G182" s="31">
        <v>43</v>
      </c>
      <c r="H182">
        <v>3.784189633918261</v>
      </c>
    </row>
    <row r="183" spans="1:8" hidden="1" x14ac:dyDescent="0.25">
      <c r="A183" t="s">
        <v>331</v>
      </c>
      <c r="B183" t="s">
        <v>112</v>
      </c>
      <c r="C183" t="s">
        <v>332</v>
      </c>
      <c r="D183" t="s">
        <v>10</v>
      </c>
      <c r="E183" s="31"/>
      <c r="F183" s="31">
        <v>4.5</v>
      </c>
      <c r="G183" s="31">
        <v>9130</v>
      </c>
      <c r="H183">
        <v>9.1194304966163404</v>
      </c>
    </row>
    <row r="184" spans="1:8" hidden="1" x14ac:dyDescent="0.25">
      <c r="A184" t="s">
        <v>333</v>
      </c>
      <c r="B184" t="s">
        <v>334</v>
      </c>
      <c r="C184" t="s">
        <v>335</v>
      </c>
      <c r="D184" t="s">
        <v>10</v>
      </c>
      <c r="E184" s="31"/>
      <c r="F184" s="31">
        <v>4.5</v>
      </c>
      <c r="G184" s="31">
        <v>229</v>
      </c>
      <c r="H184">
        <v>5.4380793089231956</v>
      </c>
    </row>
    <row r="185" spans="1:8" x14ac:dyDescent="0.25">
      <c r="A185" t="s">
        <v>336</v>
      </c>
      <c r="B185" t="s">
        <v>337</v>
      </c>
      <c r="C185" t="s">
        <v>338</v>
      </c>
      <c r="D185" t="s">
        <v>10</v>
      </c>
      <c r="E185" s="31">
        <v>28.2</v>
      </c>
      <c r="F185" s="31">
        <v>4.5</v>
      </c>
      <c r="G185" s="31">
        <v>989</v>
      </c>
      <c r="H185">
        <v>6.8977049431286357</v>
      </c>
    </row>
    <row r="186" spans="1:8" hidden="1" x14ac:dyDescent="0.25">
      <c r="A186" t="s">
        <v>139</v>
      </c>
      <c r="B186" t="s">
        <v>140</v>
      </c>
      <c r="C186" t="s">
        <v>141</v>
      </c>
      <c r="D186" t="s">
        <v>10</v>
      </c>
      <c r="E186" s="31"/>
      <c r="F186" s="31">
        <v>4.5999999999999996</v>
      </c>
      <c r="G186" s="31">
        <v>6137</v>
      </c>
      <c r="H186">
        <v>8.7222542351796815</v>
      </c>
    </row>
    <row r="187" spans="1:8" hidden="1" x14ac:dyDescent="0.25">
      <c r="A187" t="s">
        <v>339</v>
      </c>
      <c r="B187" t="s">
        <v>205</v>
      </c>
      <c r="C187" t="s">
        <v>340</v>
      </c>
      <c r="D187" t="s">
        <v>10</v>
      </c>
      <c r="E187" s="31"/>
      <c r="F187" s="31">
        <v>4.4000000000000004</v>
      </c>
      <c r="G187" s="31">
        <v>586</v>
      </c>
      <c r="H187">
        <v>6.3750248198280959</v>
      </c>
    </row>
    <row r="188" spans="1:8" x14ac:dyDescent="0.25">
      <c r="A188" t="s">
        <v>341</v>
      </c>
      <c r="B188" t="s">
        <v>342</v>
      </c>
      <c r="D188" t="s">
        <v>10</v>
      </c>
      <c r="E188" s="31">
        <v>21.95</v>
      </c>
      <c r="F188" s="31">
        <v>4.5</v>
      </c>
      <c r="G188" s="31">
        <v>148</v>
      </c>
      <c r="H188">
        <v>5.0039463059454592</v>
      </c>
    </row>
    <row r="189" spans="1:8" hidden="1" x14ac:dyDescent="0.25">
      <c r="A189" t="s">
        <v>343</v>
      </c>
      <c r="B189" t="s">
        <v>110</v>
      </c>
      <c r="D189" t="s">
        <v>10</v>
      </c>
      <c r="E189" s="31"/>
      <c r="F189" s="31">
        <v>4.4000000000000004</v>
      </c>
      <c r="G189" s="31">
        <v>12745</v>
      </c>
      <c r="H189">
        <v>9.4529727758742386</v>
      </c>
    </row>
    <row r="190" spans="1:8" hidden="1" x14ac:dyDescent="0.25">
      <c r="A190" t="s">
        <v>344</v>
      </c>
      <c r="B190" t="s">
        <v>345</v>
      </c>
      <c r="C190" t="s">
        <v>346</v>
      </c>
      <c r="D190" t="s">
        <v>10</v>
      </c>
      <c r="E190" s="31"/>
      <c r="F190" s="31">
        <v>4.4000000000000004</v>
      </c>
      <c r="G190" s="31">
        <v>141</v>
      </c>
      <c r="H190">
        <v>4.9558270576012609</v>
      </c>
    </row>
    <row r="191" spans="1:8" hidden="1" x14ac:dyDescent="0.25">
      <c r="A191" t="s">
        <v>347</v>
      </c>
      <c r="B191" t="s">
        <v>348</v>
      </c>
      <c r="D191" t="s">
        <v>10</v>
      </c>
      <c r="E191" s="31"/>
      <c r="F191" s="31">
        <v>4.5</v>
      </c>
      <c r="G191" s="31">
        <v>393</v>
      </c>
      <c r="H191">
        <v>5.9763509092979339</v>
      </c>
    </row>
    <row r="192" spans="1:8" hidden="1" x14ac:dyDescent="0.25">
      <c r="A192" t="s">
        <v>349</v>
      </c>
      <c r="B192" t="s">
        <v>247</v>
      </c>
      <c r="D192" t="s">
        <v>10</v>
      </c>
      <c r="E192" s="31"/>
      <c r="F192" s="31">
        <v>4.3</v>
      </c>
      <c r="G192" s="31">
        <v>2790</v>
      </c>
      <c r="H192">
        <v>7.9341552335363206</v>
      </c>
    </row>
    <row r="193" spans="1:8" x14ac:dyDescent="0.25">
      <c r="A193" t="s">
        <v>350</v>
      </c>
      <c r="B193" t="s">
        <v>64</v>
      </c>
      <c r="D193" t="s">
        <v>10</v>
      </c>
      <c r="E193" s="31">
        <v>11.97</v>
      </c>
      <c r="F193" s="31">
        <v>4.5</v>
      </c>
      <c r="G193" s="31">
        <v>18756</v>
      </c>
      <c r="H193">
        <v>9.8393222950603416</v>
      </c>
    </row>
    <row r="194" spans="1:8" x14ac:dyDescent="0.25">
      <c r="A194" t="s">
        <v>351</v>
      </c>
      <c r="B194" t="s">
        <v>352</v>
      </c>
      <c r="D194" t="s">
        <v>10</v>
      </c>
      <c r="E194" s="31">
        <v>14.98</v>
      </c>
      <c r="F194" s="31">
        <v>4.4000000000000004</v>
      </c>
      <c r="G194" s="31">
        <v>343</v>
      </c>
      <c r="H194">
        <v>5.8406416573733981</v>
      </c>
    </row>
    <row r="195" spans="1:8" hidden="1" x14ac:dyDescent="0.25">
      <c r="A195" t="s">
        <v>353</v>
      </c>
      <c r="B195" t="s">
        <v>26</v>
      </c>
      <c r="C195" t="s">
        <v>354</v>
      </c>
      <c r="D195" t="s">
        <v>10</v>
      </c>
      <c r="E195" s="31"/>
      <c r="F195" s="31">
        <v>4.2</v>
      </c>
      <c r="G195" s="31">
        <v>1146</v>
      </c>
      <c r="H195">
        <v>7.0449051171293702</v>
      </c>
    </row>
    <row r="196" spans="1:8" hidden="1" x14ac:dyDescent="0.25">
      <c r="A196" t="s">
        <v>355</v>
      </c>
      <c r="B196" t="s">
        <v>112</v>
      </c>
      <c r="C196" t="s">
        <v>288</v>
      </c>
      <c r="D196" t="s">
        <v>10</v>
      </c>
      <c r="E196" s="31"/>
      <c r="F196" s="31">
        <v>4.5</v>
      </c>
      <c r="G196" s="31">
        <v>1086</v>
      </c>
      <c r="H196">
        <v>6.9911768871212097</v>
      </c>
    </row>
    <row r="197" spans="1:8" x14ac:dyDescent="0.25">
      <c r="A197" t="s">
        <v>356</v>
      </c>
      <c r="B197" t="s">
        <v>225</v>
      </c>
      <c r="D197" t="s">
        <v>10</v>
      </c>
      <c r="E197" s="31">
        <v>22.99</v>
      </c>
      <c r="F197" s="31">
        <v>4.3</v>
      </c>
      <c r="G197" s="31">
        <v>1081</v>
      </c>
      <c r="H197">
        <v>6.9865664594064274</v>
      </c>
    </row>
    <row r="198" spans="1:8" hidden="1" x14ac:dyDescent="0.25">
      <c r="A198" t="s">
        <v>357</v>
      </c>
      <c r="B198" t="s">
        <v>225</v>
      </c>
      <c r="D198" t="s">
        <v>10</v>
      </c>
      <c r="E198" s="31"/>
      <c r="F198" s="31">
        <v>4.3</v>
      </c>
      <c r="G198" s="31">
        <v>532</v>
      </c>
      <c r="H198">
        <v>6.2785214241658442</v>
      </c>
    </row>
    <row r="199" spans="1:8" hidden="1" x14ac:dyDescent="0.25">
      <c r="A199" t="s">
        <v>358</v>
      </c>
      <c r="B199" t="s">
        <v>131</v>
      </c>
      <c r="C199" t="s">
        <v>359</v>
      </c>
      <c r="D199" t="s">
        <v>10</v>
      </c>
      <c r="E199" s="31"/>
      <c r="F199" s="31">
        <v>4.7</v>
      </c>
      <c r="G199" s="31">
        <v>7562</v>
      </c>
      <c r="H199">
        <v>8.9310232158560297</v>
      </c>
    </row>
    <row r="200" spans="1:8" hidden="1" x14ac:dyDescent="0.25">
      <c r="A200" t="s">
        <v>360</v>
      </c>
      <c r="B200" t="s">
        <v>361</v>
      </c>
      <c r="D200" t="s">
        <v>10</v>
      </c>
      <c r="E200" s="31"/>
      <c r="F200" s="31">
        <v>4.3</v>
      </c>
      <c r="G200" s="31">
        <v>853</v>
      </c>
      <c r="H200">
        <v>6.7499311937885693</v>
      </c>
    </row>
    <row r="201" spans="1:8" x14ac:dyDescent="0.25">
      <c r="A201" t="s">
        <v>362</v>
      </c>
      <c r="B201" t="s">
        <v>298</v>
      </c>
      <c r="C201" t="s">
        <v>363</v>
      </c>
      <c r="D201" t="s">
        <v>10</v>
      </c>
      <c r="E201" s="31">
        <v>7.0000000000000001E-3</v>
      </c>
      <c r="F201" s="31">
        <v>4.4000000000000004</v>
      </c>
      <c r="G201" s="31">
        <v>5805</v>
      </c>
      <c r="H201">
        <v>8.6666471445845747</v>
      </c>
    </row>
    <row r="202" spans="1:8" hidden="1" x14ac:dyDescent="0.25">
      <c r="A202" t="s">
        <v>364</v>
      </c>
      <c r="B202" t="s">
        <v>19</v>
      </c>
      <c r="D202" t="s">
        <v>10</v>
      </c>
      <c r="E202" s="31"/>
      <c r="F202" s="31">
        <v>4.3</v>
      </c>
      <c r="G202" s="31">
        <v>3322</v>
      </c>
      <c r="H202">
        <v>8.1086232683545933</v>
      </c>
    </row>
    <row r="203" spans="1:8" hidden="1" x14ac:dyDescent="0.25">
      <c r="A203" t="s">
        <v>365</v>
      </c>
      <c r="B203" t="s">
        <v>131</v>
      </c>
      <c r="C203" t="s">
        <v>366</v>
      </c>
      <c r="D203" t="s">
        <v>10</v>
      </c>
      <c r="E203" s="31"/>
      <c r="F203" s="31">
        <v>4.7</v>
      </c>
      <c r="G203" s="31">
        <v>1224</v>
      </c>
      <c r="H203">
        <v>7.110696122978827</v>
      </c>
    </row>
    <row r="204" spans="1:8" hidden="1" x14ac:dyDescent="0.25">
      <c r="A204" t="s">
        <v>367</v>
      </c>
      <c r="B204" t="s">
        <v>173</v>
      </c>
      <c r="C204" t="s">
        <v>368</v>
      </c>
      <c r="D204" t="s">
        <v>10</v>
      </c>
      <c r="E204" s="31"/>
      <c r="F204" s="31">
        <v>4.3</v>
      </c>
      <c r="G204" s="31">
        <v>115</v>
      </c>
      <c r="H204">
        <v>4.7535901911063636</v>
      </c>
    </row>
    <row r="205" spans="1:8" hidden="1" x14ac:dyDescent="0.25">
      <c r="A205" t="s">
        <v>369</v>
      </c>
      <c r="B205" t="s">
        <v>112</v>
      </c>
      <c r="C205" t="s">
        <v>370</v>
      </c>
      <c r="D205" t="s">
        <v>10</v>
      </c>
      <c r="E205" s="31"/>
      <c r="F205" s="31">
        <v>4.5</v>
      </c>
      <c r="G205" s="31">
        <v>1475</v>
      </c>
      <c r="H205">
        <v>7.2970910051604179</v>
      </c>
    </row>
    <row r="206" spans="1:8" hidden="1" x14ac:dyDescent="0.25">
      <c r="A206" t="s">
        <v>371</v>
      </c>
      <c r="B206" t="s">
        <v>372</v>
      </c>
      <c r="D206" t="s">
        <v>10</v>
      </c>
      <c r="E206" s="31"/>
      <c r="F206" s="31">
        <v>4.5</v>
      </c>
      <c r="G206" s="31">
        <v>1077</v>
      </c>
      <c r="H206">
        <v>6.9828627514689421</v>
      </c>
    </row>
    <row r="207" spans="1:8" hidden="1" x14ac:dyDescent="0.25">
      <c r="A207" t="s">
        <v>373</v>
      </c>
      <c r="B207" t="s">
        <v>374</v>
      </c>
      <c r="D207" t="s">
        <v>10</v>
      </c>
      <c r="E207" s="31"/>
      <c r="F207" s="31">
        <v>4.2</v>
      </c>
      <c r="G207" s="31">
        <v>2172</v>
      </c>
      <c r="H207">
        <v>7.6838639802564286</v>
      </c>
    </row>
    <row r="208" spans="1:8" hidden="1" x14ac:dyDescent="0.25">
      <c r="A208" t="s">
        <v>375</v>
      </c>
      <c r="B208" t="s">
        <v>131</v>
      </c>
      <c r="C208" t="s">
        <v>376</v>
      </c>
      <c r="D208" t="s">
        <v>10</v>
      </c>
      <c r="E208" s="31"/>
      <c r="F208" s="31">
        <v>4.7</v>
      </c>
      <c r="G208" s="31">
        <v>2213</v>
      </c>
      <c r="H208">
        <v>7.7025561132685816</v>
      </c>
    </row>
    <row r="209" spans="1:8" hidden="1" x14ac:dyDescent="0.25">
      <c r="A209" t="s">
        <v>377</v>
      </c>
      <c r="B209" t="s">
        <v>378</v>
      </c>
      <c r="D209" t="s">
        <v>10</v>
      </c>
      <c r="E209" s="31"/>
      <c r="F209" s="31">
        <v>4</v>
      </c>
      <c r="G209" s="31">
        <v>665</v>
      </c>
      <c r="H209">
        <v>6.5012896705403893</v>
      </c>
    </row>
    <row r="210" spans="1:8" hidden="1" x14ac:dyDescent="0.25">
      <c r="A210" t="s">
        <v>379</v>
      </c>
      <c r="B210" t="s">
        <v>380</v>
      </c>
      <c r="C210" t="s">
        <v>381</v>
      </c>
      <c r="D210" t="s">
        <v>10</v>
      </c>
      <c r="E210" s="31"/>
      <c r="F210" s="31">
        <v>4.2</v>
      </c>
      <c r="G210" s="31">
        <v>45</v>
      </c>
      <c r="H210">
        <v>3.8286413964890951</v>
      </c>
    </row>
    <row r="211" spans="1:8" hidden="1" x14ac:dyDescent="0.25">
      <c r="A211" t="s">
        <v>382</v>
      </c>
      <c r="B211" t="s">
        <v>16</v>
      </c>
      <c r="C211" t="s">
        <v>383</v>
      </c>
      <c r="D211" t="s">
        <v>10</v>
      </c>
      <c r="E211" s="31"/>
      <c r="F211" s="31">
        <v>4.4000000000000004</v>
      </c>
      <c r="G211" s="31">
        <v>483</v>
      </c>
      <c r="H211">
        <v>6.1820849067166312</v>
      </c>
    </row>
    <row r="212" spans="1:8" x14ac:dyDescent="0.25">
      <c r="A212" t="s">
        <v>384</v>
      </c>
      <c r="B212" t="s">
        <v>385</v>
      </c>
      <c r="D212" t="s">
        <v>10</v>
      </c>
      <c r="E212" s="31">
        <v>13.99</v>
      </c>
      <c r="F212" s="31">
        <v>4.4000000000000004</v>
      </c>
      <c r="G212" s="31">
        <v>2473</v>
      </c>
      <c r="H212">
        <v>7.8135915529524329</v>
      </c>
    </row>
    <row r="213" spans="1:8" hidden="1" x14ac:dyDescent="0.25">
      <c r="A213" t="s">
        <v>386</v>
      </c>
      <c r="B213" t="s">
        <v>387</v>
      </c>
      <c r="D213" t="s">
        <v>10</v>
      </c>
      <c r="E213" s="31"/>
      <c r="F213" s="31">
        <v>4.3</v>
      </c>
      <c r="G213" s="31">
        <v>1103</v>
      </c>
      <c r="H213">
        <v>7.0066952268370404</v>
      </c>
    </row>
    <row r="214" spans="1:8" hidden="1" x14ac:dyDescent="0.25">
      <c r="A214" t="s">
        <v>388</v>
      </c>
      <c r="B214" t="s">
        <v>389</v>
      </c>
      <c r="D214" t="s">
        <v>10</v>
      </c>
      <c r="E214" s="31"/>
      <c r="F214" s="31">
        <v>4.3</v>
      </c>
      <c r="G214" s="31">
        <v>1871</v>
      </c>
      <c r="H214">
        <v>7.534762657037537</v>
      </c>
    </row>
    <row r="215" spans="1:8" x14ac:dyDescent="0.25">
      <c r="A215" t="s">
        <v>390</v>
      </c>
      <c r="B215" t="s">
        <v>391</v>
      </c>
      <c r="C215" t="s">
        <v>392</v>
      </c>
      <c r="D215" t="s">
        <v>10</v>
      </c>
      <c r="E215" s="31">
        <v>195</v>
      </c>
      <c r="F215" s="31">
        <v>4.5999999999999996</v>
      </c>
      <c r="G215" s="31">
        <v>786</v>
      </c>
      <c r="H215">
        <v>6.6682282484174031</v>
      </c>
    </row>
    <row r="216" spans="1:8" x14ac:dyDescent="0.25">
      <c r="A216" t="s">
        <v>393</v>
      </c>
      <c r="B216" t="s">
        <v>59</v>
      </c>
      <c r="D216" t="s">
        <v>10</v>
      </c>
      <c r="E216" s="31">
        <v>35</v>
      </c>
      <c r="F216" s="31">
        <v>4.4000000000000004</v>
      </c>
      <c r="G216" s="31">
        <v>3229</v>
      </c>
      <c r="H216">
        <v>8.0802374162167023</v>
      </c>
    </row>
    <row r="217" spans="1:8" x14ac:dyDescent="0.25">
      <c r="A217" t="s">
        <v>394</v>
      </c>
      <c r="B217" t="s">
        <v>112</v>
      </c>
      <c r="C217" t="s">
        <v>395</v>
      </c>
      <c r="D217" t="s">
        <v>10</v>
      </c>
      <c r="E217" s="31">
        <v>7.0000000000000001E-3</v>
      </c>
      <c r="F217" s="31">
        <v>4.5</v>
      </c>
      <c r="G217" s="31">
        <v>1019</v>
      </c>
      <c r="H217">
        <v>6.9275579062783166</v>
      </c>
    </row>
    <row r="218" spans="1:8" hidden="1" x14ac:dyDescent="0.25">
      <c r="A218" t="s">
        <v>82</v>
      </c>
      <c r="B218" t="s">
        <v>38</v>
      </c>
      <c r="D218" t="s">
        <v>10</v>
      </c>
      <c r="E218" s="31"/>
      <c r="F218" s="31">
        <v>4.4000000000000004</v>
      </c>
      <c r="G218" s="31">
        <v>5480</v>
      </c>
      <c r="H218">
        <v>8.6090428450461154</v>
      </c>
    </row>
    <row r="219" spans="1:8" hidden="1" x14ac:dyDescent="0.25">
      <c r="A219" t="s">
        <v>396</v>
      </c>
      <c r="B219" t="s">
        <v>397</v>
      </c>
      <c r="D219" t="s">
        <v>10</v>
      </c>
      <c r="E219" s="31"/>
      <c r="F219" s="31">
        <v>4.3</v>
      </c>
      <c r="G219" s="31">
        <v>24</v>
      </c>
      <c r="H219">
        <v>3.218875824868201</v>
      </c>
    </row>
    <row r="220" spans="1:8" hidden="1" x14ac:dyDescent="0.25">
      <c r="A220" t="s">
        <v>398</v>
      </c>
      <c r="B220" t="s">
        <v>163</v>
      </c>
      <c r="D220" t="s">
        <v>10</v>
      </c>
      <c r="E220" s="31"/>
      <c r="F220" s="31">
        <v>4.4000000000000004</v>
      </c>
      <c r="G220" s="31">
        <v>1527</v>
      </c>
      <c r="H220">
        <v>7.3317149697264652</v>
      </c>
    </row>
    <row r="221" spans="1:8" hidden="1" x14ac:dyDescent="0.25">
      <c r="A221" t="s">
        <v>399</v>
      </c>
      <c r="B221" t="s">
        <v>352</v>
      </c>
      <c r="D221" t="s">
        <v>10</v>
      </c>
      <c r="E221" s="31"/>
      <c r="F221" s="31">
        <v>4.5999999999999996</v>
      </c>
      <c r="G221" s="31">
        <v>693</v>
      </c>
      <c r="H221">
        <v>6.5424719605068038</v>
      </c>
    </row>
    <row r="222" spans="1:8" hidden="1" x14ac:dyDescent="0.25">
      <c r="A222" t="s">
        <v>400</v>
      </c>
      <c r="B222" t="s">
        <v>401</v>
      </c>
      <c r="C222" t="s">
        <v>402</v>
      </c>
      <c r="D222" t="s">
        <v>10</v>
      </c>
      <c r="E222" s="31"/>
      <c r="F222" s="31">
        <v>4.5</v>
      </c>
      <c r="G222" s="31">
        <v>362</v>
      </c>
      <c r="H222">
        <v>5.8944028342648496</v>
      </c>
    </row>
    <row r="223" spans="1:8" hidden="1" x14ac:dyDescent="0.25">
      <c r="A223" t="s">
        <v>403</v>
      </c>
      <c r="B223" t="s">
        <v>404</v>
      </c>
      <c r="C223" t="s">
        <v>405</v>
      </c>
      <c r="D223" t="s">
        <v>10</v>
      </c>
      <c r="E223" s="31"/>
      <c r="F223" s="31">
        <v>4.2</v>
      </c>
      <c r="G223" s="31">
        <v>4044</v>
      </c>
      <c r="H223">
        <v>8.3052368294925909</v>
      </c>
    </row>
    <row r="224" spans="1:8" hidden="1" x14ac:dyDescent="0.25">
      <c r="A224" t="s">
        <v>406</v>
      </c>
      <c r="B224" t="s">
        <v>112</v>
      </c>
      <c r="C224" t="s">
        <v>407</v>
      </c>
      <c r="D224" t="s">
        <v>10</v>
      </c>
      <c r="E224" s="31"/>
      <c r="F224" s="31">
        <v>4.4000000000000004</v>
      </c>
      <c r="G224" s="31">
        <v>2625</v>
      </c>
      <c r="H224">
        <v>7.8732170548627414</v>
      </c>
    </row>
    <row r="225" spans="1:8" hidden="1" x14ac:dyDescent="0.25">
      <c r="A225" t="s">
        <v>408</v>
      </c>
      <c r="B225" t="s">
        <v>409</v>
      </c>
      <c r="D225" t="s">
        <v>10</v>
      </c>
      <c r="E225" s="31"/>
      <c r="F225" s="31">
        <v>4.4000000000000004</v>
      </c>
      <c r="G225" s="31">
        <v>4601</v>
      </c>
      <c r="H225">
        <v>8.4342462705953114</v>
      </c>
    </row>
    <row r="226" spans="1:8" hidden="1" x14ac:dyDescent="0.25">
      <c r="A226" t="s">
        <v>410</v>
      </c>
      <c r="B226" t="s">
        <v>411</v>
      </c>
      <c r="D226" t="s">
        <v>10</v>
      </c>
      <c r="E226" s="31"/>
      <c r="F226" s="31">
        <v>4.3</v>
      </c>
      <c r="G226" s="31">
        <v>1910</v>
      </c>
      <c r="H226">
        <v>7.5553819442402732</v>
      </c>
    </row>
    <row r="227" spans="1:8" hidden="1" x14ac:dyDescent="0.25">
      <c r="A227" t="s">
        <v>412</v>
      </c>
      <c r="B227" t="s">
        <v>413</v>
      </c>
      <c r="D227" t="s">
        <v>10</v>
      </c>
      <c r="E227" s="31"/>
      <c r="F227" s="31">
        <v>4.3</v>
      </c>
      <c r="G227" s="31">
        <v>825</v>
      </c>
      <c r="H227">
        <v>6.7165947735209777</v>
      </c>
    </row>
    <row r="228" spans="1:8" x14ac:dyDescent="0.25">
      <c r="A228" t="s">
        <v>414</v>
      </c>
      <c r="B228" t="s">
        <v>32</v>
      </c>
      <c r="C228" t="s">
        <v>33</v>
      </c>
      <c r="D228" t="s">
        <v>10</v>
      </c>
      <c r="E228" s="31">
        <v>13.98</v>
      </c>
      <c r="F228" s="31">
        <v>4.3</v>
      </c>
      <c r="G228" s="31">
        <v>2101</v>
      </c>
      <c r="H228">
        <v>7.6506445514368959</v>
      </c>
    </row>
    <row r="229" spans="1:8" hidden="1" x14ac:dyDescent="0.25">
      <c r="A229" t="s">
        <v>415</v>
      </c>
      <c r="B229" t="s">
        <v>131</v>
      </c>
      <c r="C229" t="s">
        <v>416</v>
      </c>
      <c r="D229" t="s">
        <v>10</v>
      </c>
      <c r="E229" s="31"/>
      <c r="F229" s="31">
        <v>4.7</v>
      </c>
      <c r="G229" s="31">
        <v>5437</v>
      </c>
      <c r="H229">
        <v>8.6011666251924161</v>
      </c>
    </row>
    <row r="230" spans="1:8" hidden="1" x14ac:dyDescent="0.25">
      <c r="A230" t="s">
        <v>417</v>
      </c>
      <c r="B230" t="s">
        <v>418</v>
      </c>
      <c r="D230" t="s">
        <v>10</v>
      </c>
      <c r="E230" s="31"/>
      <c r="F230" s="31">
        <v>4.2</v>
      </c>
      <c r="G230" s="31">
        <v>8635</v>
      </c>
      <c r="H230">
        <v>9.0636947916346973</v>
      </c>
    </row>
    <row r="231" spans="1:8" hidden="1" x14ac:dyDescent="0.25">
      <c r="A231" t="s">
        <v>419</v>
      </c>
      <c r="B231" t="s">
        <v>247</v>
      </c>
      <c r="D231" t="s">
        <v>10</v>
      </c>
      <c r="E231" s="31"/>
      <c r="F231" s="31">
        <v>4.4000000000000004</v>
      </c>
      <c r="G231" s="31">
        <v>3597</v>
      </c>
      <c r="H231">
        <v>8.188133414510478</v>
      </c>
    </row>
    <row r="232" spans="1:8" hidden="1" x14ac:dyDescent="0.25">
      <c r="A232" t="s">
        <v>420</v>
      </c>
      <c r="B232" t="s">
        <v>112</v>
      </c>
      <c r="D232" t="s">
        <v>10</v>
      </c>
      <c r="E232" s="31"/>
      <c r="F232" s="31">
        <v>4.5</v>
      </c>
      <c r="G232" s="31">
        <v>900</v>
      </c>
      <c r="H232">
        <v>6.8035052576083377</v>
      </c>
    </row>
    <row r="233" spans="1:8" hidden="1" x14ac:dyDescent="0.25">
      <c r="A233" t="s">
        <v>421</v>
      </c>
      <c r="B233" t="s">
        <v>9</v>
      </c>
      <c r="D233" t="s">
        <v>10</v>
      </c>
      <c r="E233" s="31"/>
      <c r="F233" s="31">
        <v>4.4000000000000004</v>
      </c>
      <c r="G233" s="31">
        <v>5748</v>
      </c>
      <c r="H233">
        <v>8.6567812056232913</v>
      </c>
    </row>
    <row r="234" spans="1:8" x14ac:dyDescent="0.25">
      <c r="A234" t="s">
        <v>422</v>
      </c>
      <c r="B234" t="s">
        <v>423</v>
      </c>
      <c r="D234" t="s">
        <v>10</v>
      </c>
      <c r="E234" s="31">
        <v>19.989999999999998</v>
      </c>
      <c r="F234" s="31">
        <v>4.5</v>
      </c>
      <c r="G234" s="31">
        <v>486</v>
      </c>
      <c r="H234">
        <v>6.1882641230825897</v>
      </c>
    </row>
    <row r="235" spans="1:8" hidden="1" x14ac:dyDescent="0.25">
      <c r="A235" t="s">
        <v>424</v>
      </c>
      <c r="B235" t="s">
        <v>425</v>
      </c>
      <c r="C235" t="s">
        <v>426</v>
      </c>
      <c r="D235" t="s">
        <v>10</v>
      </c>
      <c r="E235" s="31"/>
      <c r="F235" s="31">
        <v>4.3</v>
      </c>
      <c r="G235" s="31">
        <v>810</v>
      </c>
      <c r="H235">
        <v>6.6982680541154123</v>
      </c>
    </row>
    <row r="236" spans="1:8" x14ac:dyDescent="0.25">
      <c r="A236" t="s">
        <v>427</v>
      </c>
      <c r="B236" t="s">
        <v>261</v>
      </c>
      <c r="C236" t="s">
        <v>428</v>
      </c>
      <c r="D236" t="s">
        <v>10</v>
      </c>
      <c r="E236" s="31">
        <v>48</v>
      </c>
      <c r="F236" s="31">
        <v>4.5999999999999996</v>
      </c>
      <c r="G236" s="31">
        <v>766</v>
      </c>
      <c r="H236">
        <v>6.642486801367256</v>
      </c>
    </row>
    <row r="237" spans="1:8" hidden="1" x14ac:dyDescent="0.25">
      <c r="A237" t="s">
        <v>429</v>
      </c>
      <c r="B237" t="s">
        <v>380</v>
      </c>
      <c r="C237" t="s">
        <v>430</v>
      </c>
      <c r="D237" t="s">
        <v>10</v>
      </c>
      <c r="E237" s="31"/>
      <c r="F237" s="31">
        <v>4.5</v>
      </c>
      <c r="G237" s="31">
        <v>1179</v>
      </c>
      <c r="H237">
        <v>7.0732697174597101</v>
      </c>
    </row>
    <row r="238" spans="1:8" hidden="1" x14ac:dyDescent="0.25">
      <c r="A238" t="s">
        <v>431</v>
      </c>
      <c r="B238" t="s">
        <v>169</v>
      </c>
      <c r="D238" t="s">
        <v>10</v>
      </c>
      <c r="E238" s="31"/>
      <c r="F238" s="31">
        <v>4.4000000000000004</v>
      </c>
      <c r="G238" s="31">
        <v>1324</v>
      </c>
      <c r="H238">
        <v>7.1891677384203234</v>
      </c>
    </row>
    <row r="239" spans="1:8" hidden="1" x14ac:dyDescent="0.25">
      <c r="A239" t="s">
        <v>432</v>
      </c>
      <c r="B239" t="s">
        <v>361</v>
      </c>
      <c r="D239" t="s">
        <v>10</v>
      </c>
      <c r="E239" s="31"/>
      <c r="F239" s="31">
        <v>4.4000000000000004</v>
      </c>
      <c r="G239" s="31">
        <v>656</v>
      </c>
      <c r="H239">
        <v>6.4876840184846101</v>
      </c>
    </row>
    <row r="240" spans="1:8" hidden="1" x14ac:dyDescent="0.25">
      <c r="A240" t="s">
        <v>433</v>
      </c>
      <c r="B240" t="s">
        <v>59</v>
      </c>
      <c r="D240" t="s">
        <v>10</v>
      </c>
      <c r="E240" s="31"/>
      <c r="F240" s="31">
        <v>4.3</v>
      </c>
      <c r="G240" s="31">
        <v>1590</v>
      </c>
      <c r="H240">
        <v>7.3721180283377867</v>
      </c>
    </row>
    <row r="241" spans="1:8" hidden="1" x14ac:dyDescent="0.25">
      <c r="A241" t="s">
        <v>434</v>
      </c>
      <c r="B241" t="s">
        <v>435</v>
      </c>
      <c r="D241" t="s">
        <v>10</v>
      </c>
      <c r="E241" s="31"/>
      <c r="F241" s="31">
        <v>4.3</v>
      </c>
      <c r="G241" s="31">
        <v>636</v>
      </c>
      <c r="H241">
        <v>6.4567696555721632</v>
      </c>
    </row>
    <row r="242" spans="1:8" x14ac:dyDescent="0.25">
      <c r="A242" t="s">
        <v>436</v>
      </c>
      <c r="B242" t="s">
        <v>112</v>
      </c>
      <c r="C242" t="s">
        <v>370</v>
      </c>
      <c r="D242" t="s">
        <v>10</v>
      </c>
      <c r="E242" s="31">
        <v>7.0000000000000001E-3</v>
      </c>
      <c r="F242" s="31">
        <v>4.5</v>
      </c>
      <c r="G242" s="31">
        <v>583</v>
      </c>
      <c r="H242">
        <v>6.3699009828282271</v>
      </c>
    </row>
    <row r="243" spans="1:8" hidden="1" x14ac:dyDescent="0.25">
      <c r="A243" t="s">
        <v>437</v>
      </c>
      <c r="B243" t="s">
        <v>173</v>
      </c>
      <c r="C243" t="s">
        <v>249</v>
      </c>
      <c r="D243" t="s">
        <v>10</v>
      </c>
      <c r="E243" s="31"/>
      <c r="F243" s="31">
        <v>4.4000000000000004</v>
      </c>
      <c r="G243" s="31">
        <v>304</v>
      </c>
      <c r="H243">
        <v>5.7203117766074119</v>
      </c>
    </row>
    <row r="244" spans="1:8" x14ac:dyDescent="0.25">
      <c r="A244" t="s">
        <v>438</v>
      </c>
      <c r="B244" t="s">
        <v>439</v>
      </c>
      <c r="D244" t="s">
        <v>10</v>
      </c>
      <c r="E244" s="31">
        <v>23.99</v>
      </c>
      <c r="F244" s="31">
        <v>4.4000000000000004</v>
      </c>
      <c r="G244" s="31">
        <v>645</v>
      </c>
      <c r="H244">
        <v>6.4707995037826018</v>
      </c>
    </row>
    <row r="245" spans="1:8" x14ac:dyDescent="0.25">
      <c r="A245" t="s">
        <v>440</v>
      </c>
      <c r="B245" t="s">
        <v>257</v>
      </c>
      <c r="D245" t="s">
        <v>10</v>
      </c>
      <c r="E245" s="31">
        <v>21.98</v>
      </c>
      <c r="F245" s="31">
        <v>4.4000000000000004</v>
      </c>
      <c r="G245" s="31">
        <v>2984</v>
      </c>
      <c r="H245">
        <v>8.0013550258267028</v>
      </c>
    </row>
    <row r="246" spans="1:8" hidden="1" x14ac:dyDescent="0.25">
      <c r="A246" t="s">
        <v>441</v>
      </c>
      <c r="B246" t="s">
        <v>112</v>
      </c>
      <c r="C246" t="s">
        <v>442</v>
      </c>
      <c r="D246" t="s">
        <v>10</v>
      </c>
      <c r="E246" s="31"/>
      <c r="F246" s="31">
        <v>4.5</v>
      </c>
      <c r="G246" s="31">
        <v>6296</v>
      </c>
      <c r="H246">
        <v>8.7478286084887422</v>
      </c>
    </row>
    <row r="247" spans="1:8" x14ac:dyDescent="0.25">
      <c r="A247" t="s">
        <v>443</v>
      </c>
      <c r="B247" t="s">
        <v>413</v>
      </c>
      <c r="D247" t="s">
        <v>10</v>
      </c>
      <c r="E247" s="31">
        <v>17.989999999999998</v>
      </c>
      <c r="F247" s="31">
        <v>4.2</v>
      </c>
      <c r="G247" s="31">
        <v>20</v>
      </c>
      <c r="H247">
        <v>3.044522437723423</v>
      </c>
    </row>
    <row r="248" spans="1:8" hidden="1" x14ac:dyDescent="0.25">
      <c r="A248" t="s">
        <v>444</v>
      </c>
      <c r="B248" t="s">
        <v>95</v>
      </c>
      <c r="D248" t="s">
        <v>10</v>
      </c>
      <c r="E248" s="31"/>
      <c r="F248" s="31">
        <v>4.2</v>
      </c>
      <c r="G248" s="31">
        <v>98</v>
      </c>
      <c r="H248">
        <v>4.5951198501345898</v>
      </c>
    </row>
    <row r="249" spans="1:8" x14ac:dyDescent="0.25">
      <c r="A249" t="s">
        <v>445</v>
      </c>
      <c r="B249" t="s">
        <v>446</v>
      </c>
      <c r="D249" t="s">
        <v>10</v>
      </c>
      <c r="E249" s="31">
        <v>16.989999999999998</v>
      </c>
      <c r="F249" s="31">
        <v>4</v>
      </c>
      <c r="G249" s="31">
        <v>149</v>
      </c>
      <c r="H249">
        <v>5.0106352940962564</v>
      </c>
    </row>
    <row r="250" spans="1:8" x14ac:dyDescent="0.25">
      <c r="A250" t="s">
        <v>447</v>
      </c>
      <c r="B250" t="s">
        <v>131</v>
      </c>
      <c r="C250" t="s">
        <v>448</v>
      </c>
      <c r="D250" t="s">
        <v>10</v>
      </c>
      <c r="E250" s="31">
        <v>93</v>
      </c>
      <c r="F250" s="31">
        <v>4.7</v>
      </c>
      <c r="G250" s="31">
        <v>3028</v>
      </c>
      <c r="H250">
        <v>8.0159878110272373</v>
      </c>
    </row>
    <row r="251" spans="1:8" hidden="1" x14ac:dyDescent="0.25">
      <c r="A251" t="s">
        <v>449</v>
      </c>
      <c r="B251" t="s">
        <v>450</v>
      </c>
      <c r="C251" t="s">
        <v>451</v>
      </c>
      <c r="D251" t="s">
        <v>10</v>
      </c>
      <c r="E251" s="31"/>
      <c r="F251" s="31">
        <v>4.0999999999999996</v>
      </c>
      <c r="G251" s="31">
        <v>306</v>
      </c>
      <c r="H251">
        <v>5.7268477475871968</v>
      </c>
    </row>
    <row r="252" spans="1:8" x14ac:dyDescent="0.25">
      <c r="A252" t="s">
        <v>452</v>
      </c>
      <c r="B252" t="s">
        <v>425</v>
      </c>
      <c r="C252" t="s">
        <v>453</v>
      </c>
      <c r="D252" t="s">
        <v>10</v>
      </c>
      <c r="E252" s="31">
        <v>25.95</v>
      </c>
      <c r="F252" s="31">
        <v>4.4000000000000004</v>
      </c>
      <c r="G252" s="31">
        <v>1990</v>
      </c>
      <c r="H252">
        <v>7.5963923040641959</v>
      </c>
    </row>
    <row r="253" spans="1:8" x14ac:dyDescent="0.25">
      <c r="A253" t="s">
        <v>454</v>
      </c>
      <c r="B253" t="s">
        <v>455</v>
      </c>
      <c r="C253" t="s">
        <v>456</v>
      </c>
      <c r="D253" t="s">
        <v>10</v>
      </c>
      <c r="E253" s="31">
        <v>9.89</v>
      </c>
      <c r="F253" s="31">
        <v>4.2</v>
      </c>
      <c r="G253" s="31">
        <v>2432</v>
      </c>
      <c r="H253">
        <v>7.7968803427835223</v>
      </c>
    </row>
    <row r="254" spans="1:8" hidden="1" x14ac:dyDescent="0.25">
      <c r="A254" t="s">
        <v>457</v>
      </c>
      <c r="B254" t="s">
        <v>458</v>
      </c>
      <c r="C254" t="s">
        <v>459</v>
      </c>
      <c r="D254" t="s">
        <v>10</v>
      </c>
      <c r="E254" s="31"/>
      <c r="F254" s="31">
        <v>4.5</v>
      </c>
      <c r="G254" s="31">
        <v>1096</v>
      </c>
      <c r="H254">
        <v>7.00033446027523</v>
      </c>
    </row>
    <row r="255" spans="1:8" hidden="1" x14ac:dyDescent="0.25">
      <c r="A255" t="s">
        <v>460</v>
      </c>
      <c r="B255" t="s">
        <v>173</v>
      </c>
      <c r="C255" t="s">
        <v>461</v>
      </c>
      <c r="D255" t="s">
        <v>10</v>
      </c>
      <c r="E255" s="31"/>
      <c r="F255" s="31">
        <v>4.3</v>
      </c>
      <c r="G255" s="31">
        <v>105</v>
      </c>
      <c r="H255">
        <v>4.6634390941120669</v>
      </c>
    </row>
    <row r="256" spans="1:8" hidden="1" x14ac:dyDescent="0.25">
      <c r="A256" t="s">
        <v>462</v>
      </c>
      <c r="B256" t="s">
        <v>411</v>
      </c>
      <c r="D256" t="s">
        <v>10</v>
      </c>
      <c r="E256" s="31"/>
      <c r="F256" s="31">
        <v>4.4000000000000004</v>
      </c>
      <c r="G256" s="31">
        <v>419</v>
      </c>
      <c r="H256">
        <v>6.0402547112774139</v>
      </c>
    </row>
    <row r="257" spans="1:8" x14ac:dyDescent="0.25">
      <c r="A257" t="s">
        <v>463</v>
      </c>
      <c r="B257" t="s">
        <v>334</v>
      </c>
      <c r="C257" t="s">
        <v>464</v>
      </c>
      <c r="D257" t="s">
        <v>10</v>
      </c>
      <c r="E257" s="31">
        <v>13.97</v>
      </c>
      <c r="F257" s="31">
        <v>4.4000000000000004</v>
      </c>
      <c r="G257" s="31">
        <v>100</v>
      </c>
      <c r="H257">
        <v>4.6151205168412597</v>
      </c>
    </row>
    <row r="258" spans="1:8" hidden="1" x14ac:dyDescent="0.25">
      <c r="A258" t="s">
        <v>465</v>
      </c>
      <c r="B258" t="s">
        <v>24</v>
      </c>
      <c r="D258" t="s">
        <v>10</v>
      </c>
      <c r="E258" s="31"/>
      <c r="F258" s="31">
        <v>4.5</v>
      </c>
      <c r="G258" s="31">
        <v>1003</v>
      </c>
      <c r="H258">
        <v>6.9117473002516743</v>
      </c>
    </row>
    <row r="259" spans="1:8" x14ac:dyDescent="0.25">
      <c r="A259" t="s">
        <v>466</v>
      </c>
      <c r="B259" t="s">
        <v>112</v>
      </c>
      <c r="C259" t="s">
        <v>467</v>
      </c>
      <c r="D259" t="s">
        <v>10</v>
      </c>
      <c r="E259" s="31">
        <v>7.0000000000000001E-3</v>
      </c>
      <c r="F259" s="31">
        <v>4.5999999999999996</v>
      </c>
      <c r="G259" s="31">
        <v>11493</v>
      </c>
      <c r="H259">
        <v>9.3495804390676867</v>
      </c>
    </row>
    <row r="260" spans="1:8" hidden="1" x14ac:dyDescent="0.25">
      <c r="A260" t="s">
        <v>468</v>
      </c>
      <c r="B260" t="s">
        <v>469</v>
      </c>
      <c r="D260" t="s">
        <v>10</v>
      </c>
      <c r="E260" s="31"/>
      <c r="F260" s="31">
        <v>4.3</v>
      </c>
      <c r="G260" s="31">
        <v>1363</v>
      </c>
      <c r="H260">
        <v>7.2181768384034068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workbookViewId="0">
      <selection activeCell="G47" sqref="G47"/>
    </sheetView>
  </sheetViews>
  <sheetFormatPr defaultColWidth="8.85546875" defaultRowHeight="15" x14ac:dyDescent="0.25"/>
  <cols>
    <col min="1" max="1" width="14.28515625" customWidth="1"/>
    <col min="2" max="2" width="10.28515625" customWidth="1"/>
    <col min="3" max="3" width="10.7109375" customWidth="1"/>
    <col min="4" max="4" width="12.5703125" customWidth="1"/>
    <col min="5" max="5" width="15.5703125" customWidth="1"/>
    <col min="7" max="7" width="56.7109375" customWidth="1"/>
    <col min="9" max="9" width="58.42578125" customWidth="1"/>
    <col min="10" max="10" width="22.85546875" customWidth="1"/>
  </cols>
  <sheetData>
    <row r="1" spans="1:9" x14ac:dyDescent="0.25">
      <c r="A1" s="6" t="s">
        <v>470</v>
      </c>
      <c r="B1" s="6" t="s">
        <v>4</v>
      </c>
      <c r="C1" s="6" t="s">
        <v>5</v>
      </c>
      <c r="D1" s="6" t="s">
        <v>6</v>
      </c>
      <c r="E1" s="6" t="s">
        <v>7</v>
      </c>
      <c r="G1" s="14" t="s">
        <v>533</v>
      </c>
      <c r="I1" s="35" t="s">
        <v>534</v>
      </c>
    </row>
    <row r="2" spans="1:9" x14ac:dyDescent="0.25">
      <c r="A2" t="s">
        <v>471</v>
      </c>
      <c r="B2">
        <f>SUBTOTAL(102,Table1[price])</f>
        <v>100</v>
      </c>
      <c r="C2" s="31">
        <f>SUBTOTAL(102,Table1[rating])</f>
        <v>100</v>
      </c>
      <c r="D2" s="31">
        <f>SUBTOTAL(102,Table1[reviews])</f>
        <v>100</v>
      </c>
      <c r="E2" s="31">
        <f>SUBTOTAL(102,Table1[ln_reviews])</f>
        <v>100</v>
      </c>
      <c r="G2" s="14">
        <f>CORREL(Regression!E:E,Regression!F:F)</f>
        <v>0.16016608238250415</v>
      </c>
      <c r="I2" s="34">
        <f>CORREL(Regression!F:F,Regression!D:D)</f>
        <v>3.7345016987752416E-2</v>
      </c>
    </row>
    <row r="3" spans="1:9" x14ac:dyDescent="0.25">
      <c r="A3" t="s">
        <v>472</v>
      </c>
      <c r="B3" s="13">
        <f>SUBTOTAL(101,Table1[price])</f>
        <v>20.997260000000004</v>
      </c>
      <c r="C3" s="32">
        <f>SUBTOTAL(101,Table1[rating])</f>
        <v>4.4510000000000005</v>
      </c>
      <c r="D3" s="32">
        <f>SUBTOTAL(101,Table1[reviews])</f>
        <v>5446.55</v>
      </c>
      <c r="E3" s="32">
        <f>SUBTOTAL(101,Table1[ln_reviews])</f>
        <v>7.6657938930246248</v>
      </c>
      <c r="G3" s="33" t="s">
        <v>584</v>
      </c>
      <c r="I3" t="s">
        <v>585</v>
      </c>
    </row>
    <row r="4" spans="1:9" x14ac:dyDescent="0.25">
      <c r="A4" t="s">
        <v>473</v>
      </c>
      <c r="B4" s="13">
        <f>_xlfn.AGGREGATE(12,6,Table1[price])</f>
        <v>15.984999999999999</v>
      </c>
      <c r="C4" s="32">
        <f>_xlfn.AGGREGATE(12,6,Table1[rating])</f>
        <v>4.4000000000000004</v>
      </c>
      <c r="D4" s="32">
        <f>_xlfn.AGGREGATE(12,6,Table1[reviews])</f>
        <v>2473</v>
      </c>
      <c r="E4" s="32">
        <f>_xlfn.AGGREGATE(12,6,Table1[ln_reviews])</f>
        <v>7.8135915529524329</v>
      </c>
      <c r="I4" t="s">
        <v>586</v>
      </c>
    </row>
    <row r="5" spans="1:9" x14ac:dyDescent="0.25">
      <c r="A5" t="s">
        <v>474</v>
      </c>
      <c r="B5" s="13">
        <f>SUBTOTAL(107,Table1[price])</f>
        <v>22.39758810545943</v>
      </c>
      <c r="C5" s="32">
        <f>SUBTOTAL(107,Table1[rating])</f>
        <v>0.14106019919871005</v>
      </c>
      <c r="D5" s="32">
        <f>SUBTOTAL(107,Table1[reviews])</f>
        <v>7537.277393902009</v>
      </c>
      <c r="E5" s="32">
        <f>SUBTOTAL(107,Table1[ln_reviews])</f>
        <v>1.5473502655728097</v>
      </c>
    </row>
    <row r="6" spans="1:9" x14ac:dyDescent="0.25">
      <c r="A6" t="s">
        <v>475</v>
      </c>
      <c r="B6" s="13">
        <f>SUBTOTAL(105,Table1[price])</f>
        <v>7.0000000000000001E-3</v>
      </c>
      <c r="C6" s="32">
        <f>SUBTOTAL(105,Table1[rating])</f>
        <v>4</v>
      </c>
      <c r="D6" s="32">
        <f>SUBTOTAL(105,Table1[reviews])</f>
        <v>20</v>
      </c>
      <c r="E6" s="32">
        <f>SUBTOTAL(105,Table1[ln_reviews])</f>
        <v>3.044522437723423</v>
      </c>
    </row>
    <row r="7" spans="1:9" x14ac:dyDescent="0.25">
      <c r="A7" t="s">
        <v>476</v>
      </c>
      <c r="B7" s="13">
        <f>SUBTOTAL(104,Table1[price])</f>
        <v>195</v>
      </c>
      <c r="C7" s="32">
        <f>SUBTOTAL(104,Table1[rating])</f>
        <v>4.8</v>
      </c>
      <c r="D7" s="32">
        <f>SUBTOTAL(104,Table1[reviews])</f>
        <v>34615</v>
      </c>
      <c r="E7" s="32">
        <f>SUBTOTAL(104,Table1[ln_reviews])</f>
        <v>10.45207128190472</v>
      </c>
    </row>
    <row r="11" spans="1:9" x14ac:dyDescent="0.25">
      <c r="A11" s="39" t="s">
        <v>535</v>
      </c>
      <c r="B11" s="39"/>
      <c r="C11" s="39"/>
      <c r="D11" s="39"/>
      <c r="E11" s="39"/>
      <c r="F11" s="39"/>
      <c r="G11" s="39"/>
      <c r="H11" s="39"/>
      <c r="I11" s="39"/>
    </row>
    <row r="12" spans="1:9" x14ac:dyDescent="0.25">
      <c r="A12" s="7" t="s">
        <v>587</v>
      </c>
      <c r="B12" s="7"/>
      <c r="C12" s="7"/>
      <c r="D12" s="7"/>
      <c r="E12" s="7"/>
      <c r="F12" s="7"/>
      <c r="G12" s="7"/>
      <c r="H12" s="7"/>
      <c r="I12" s="7"/>
    </row>
    <row r="13" spans="1:9" x14ac:dyDescent="0.25">
      <c r="A13" s="16" t="s">
        <v>536</v>
      </c>
      <c r="B13" s="16"/>
      <c r="C13" s="16"/>
      <c r="D13" s="16"/>
      <c r="E13" s="16"/>
      <c r="F13" s="16"/>
      <c r="G13" s="16"/>
      <c r="H13" s="16"/>
      <c r="I13" s="16"/>
    </row>
    <row r="41" spans="7:8" x14ac:dyDescent="0.25">
      <c r="G41" s="40" t="s">
        <v>616</v>
      </c>
      <c r="H41" s="40"/>
    </row>
    <row r="42" spans="7:8" x14ac:dyDescent="0.25">
      <c r="G42" s="36" t="s">
        <v>588</v>
      </c>
      <c r="H42" s="36"/>
    </row>
    <row r="43" spans="7:8" x14ac:dyDescent="0.25">
      <c r="G43" s="36" t="s">
        <v>589</v>
      </c>
      <c r="H43" s="36"/>
    </row>
    <row r="44" spans="7:8" x14ac:dyDescent="0.25">
      <c r="G44" s="36" t="s">
        <v>590</v>
      </c>
      <c r="H44" s="36"/>
    </row>
  </sheetData>
  <mergeCells count="2">
    <mergeCell ref="A11:I11"/>
    <mergeCell ref="G41:H41"/>
  </mergeCells>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1"/>
  <sheetViews>
    <sheetView tabSelected="1" workbookViewId="0">
      <selection activeCell="K5" sqref="K5"/>
    </sheetView>
  </sheetViews>
  <sheetFormatPr defaultColWidth="8.85546875" defaultRowHeight="15" x14ac:dyDescent="0.25"/>
  <cols>
    <col min="1" max="1" width="40.42578125" customWidth="1"/>
    <col min="2" max="2" width="15.5703125" customWidth="1"/>
    <col min="4" max="4" width="13.85546875" customWidth="1"/>
    <col min="6" max="6" width="14.140625" customWidth="1"/>
    <col min="8" max="8" width="19.140625" customWidth="1"/>
    <col min="9" max="9" width="13" customWidth="1"/>
    <col min="10" max="10" width="17.42578125" customWidth="1"/>
    <col min="13" max="13" width="14.7109375" customWidth="1"/>
    <col min="14" max="14" width="14.28515625" customWidth="1"/>
    <col min="15" max="15" width="12.85546875" customWidth="1"/>
    <col min="16" max="16" width="13" customWidth="1"/>
  </cols>
  <sheetData>
    <row r="1" spans="1:15" x14ac:dyDescent="0.25">
      <c r="A1" s="6" t="s">
        <v>477</v>
      </c>
      <c r="B1" s="6" t="s">
        <v>478</v>
      </c>
      <c r="D1" s="20" t="s">
        <v>532</v>
      </c>
      <c r="E1" s="20" t="s">
        <v>537</v>
      </c>
      <c r="F1" s="20" t="s">
        <v>538</v>
      </c>
    </row>
    <row r="2" spans="1:15" x14ac:dyDescent="0.25">
      <c r="A2" t="s">
        <v>479</v>
      </c>
      <c r="B2" t="s">
        <v>7</v>
      </c>
      <c r="D2" s="11">
        <v>8.0362499421321161</v>
      </c>
      <c r="E2" s="8">
        <v>7.35</v>
      </c>
      <c r="F2" s="8">
        <v>4.5</v>
      </c>
      <c r="H2" t="s">
        <v>539</v>
      </c>
    </row>
    <row r="3" spans="1:15" ht="15.75" thickBot="1" x14ac:dyDescent="0.3">
      <c r="A3" t="s">
        <v>480</v>
      </c>
      <c r="B3" t="s">
        <v>481</v>
      </c>
      <c r="D3" s="12">
        <v>8.8505176217467199</v>
      </c>
      <c r="E3" s="10">
        <v>13.99</v>
      </c>
      <c r="F3" s="10">
        <v>4.4000000000000004</v>
      </c>
    </row>
    <row r="4" spans="1:15" x14ac:dyDescent="0.25">
      <c r="A4" t="s">
        <v>482</v>
      </c>
      <c r="B4">
        <v>-5.6327299379795295E-3</v>
      </c>
      <c r="D4" s="11">
        <v>8.3447427544175454</v>
      </c>
      <c r="E4" s="8">
        <v>15.99</v>
      </c>
      <c r="F4" s="8">
        <v>4.2</v>
      </c>
      <c r="H4" s="23" t="s">
        <v>540</v>
      </c>
      <c r="I4" s="23"/>
    </row>
    <row r="5" spans="1:15" x14ac:dyDescent="0.25">
      <c r="A5" t="s">
        <v>483</v>
      </c>
      <c r="B5">
        <v>0.55290085855272808</v>
      </c>
      <c r="D5" s="12">
        <v>3.850147601710058</v>
      </c>
      <c r="E5" s="10">
        <v>9.9600000000000009</v>
      </c>
      <c r="F5" s="10">
        <v>4.5999999999999996</v>
      </c>
      <c r="H5" t="s">
        <v>541</v>
      </c>
      <c r="I5">
        <v>8.8722554624134267E-2</v>
      </c>
    </row>
    <row r="6" spans="1:15" x14ac:dyDescent="0.25">
      <c r="A6" t="s">
        <v>484</v>
      </c>
      <c r="B6" t="s">
        <v>579</v>
      </c>
      <c r="D6" s="11">
        <v>7.1670378769122198</v>
      </c>
      <c r="E6" s="8">
        <v>13.99</v>
      </c>
      <c r="F6" s="8">
        <v>4.5999999999999996</v>
      </c>
      <c r="H6" t="s">
        <v>542</v>
      </c>
      <c r="I6" s="24">
        <v>7.87169169903249E-3</v>
      </c>
    </row>
    <row r="7" spans="1:15" x14ac:dyDescent="0.25">
      <c r="A7" t="s">
        <v>485</v>
      </c>
      <c r="B7" t="s">
        <v>579</v>
      </c>
      <c r="D7" s="12">
        <v>8.5558368150084423</v>
      </c>
      <c r="E7" s="10">
        <v>13.98</v>
      </c>
      <c r="F7" s="10">
        <v>4.5999999999999996</v>
      </c>
      <c r="H7" t="s">
        <v>543</v>
      </c>
      <c r="I7" s="24">
        <v>-1.2584562080368903E-2</v>
      </c>
    </row>
    <row r="8" spans="1:15" x14ac:dyDescent="0.25">
      <c r="A8" t="s">
        <v>486</v>
      </c>
      <c r="B8" s="24">
        <v>-1.2584562080368903E-2</v>
      </c>
      <c r="D8" s="11">
        <v>8.1662162685921427</v>
      </c>
      <c r="E8" s="8">
        <v>12.74</v>
      </c>
      <c r="F8" s="8">
        <v>4.5999999999999996</v>
      </c>
      <c r="H8" t="s">
        <v>544</v>
      </c>
      <c r="I8">
        <v>1.5570561875882254</v>
      </c>
    </row>
    <row r="9" spans="1:15" ht="15.75" thickBot="1" x14ac:dyDescent="0.3">
      <c r="D9" s="12">
        <v>10.40722813657889</v>
      </c>
      <c r="E9" s="10">
        <v>15.99</v>
      </c>
      <c r="F9" s="10">
        <v>4.5</v>
      </c>
      <c r="H9" s="21" t="s">
        <v>545</v>
      </c>
      <c r="I9" s="21">
        <v>100</v>
      </c>
    </row>
    <row r="10" spans="1:15" x14ac:dyDescent="0.25">
      <c r="A10" s="15" t="s">
        <v>487</v>
      </c>
      <c r="D10" s="11">
        <v>7.9557757815341859</v>
      </c>
      <c r="E10" s="8">
        <v>19.989999999999998</v>
      </c>
      <c r="F10" s="8">
        <v>4.5999999999999996</v>
      </c>
    </row>
    <row r="11" spans="1:15" ht="15.75" thickBot="1" x14ac:dyDescent="0.3">
      <c r="A11" t="s">
        <v>580</v>
      </c>
      <c r="D11" s="12">
        <v>9.5716445842985767</v>
      </c>
      <c r="E11" s="10">
        <v>33.99</v>
      </c>
      <c r="F11" s="10">
        <v>4.3</v>
      </c>
      <c r="H11" t="s">
        <v>546</v>
      </c>
    </row>
    <row r="12" spans="1:15" x14ac:dyDescent="0.25">
      <c r="A12" t="s">
        <v>581</v>
      </c>
      <c r="D12" s="11">
        <v>6.6147256002037604</v>
      </c>
      <c r="E12" s="8">
        <v>14.99</v>
      </c>
      <c r="F12" s="8">
        <v>4.4000000000000004</v>
      </c>
      <c r="H12" s="22"/>
      <c r="I12" s="22" t="s">
        <v>550</v>
      </c>
      <c r="J12" s="22" t="s">
        <v>551</v>
      </c>
      <c r="K12" s="22" t="s">
        <v>552</v>
      </c>
      <c r="L12" s="22" t="s">
        <v>553</v>
      </c>
      <c r="M12" s="22" t="s">
        <v>554</v>
      </c>
      <c r="O12" s="26" t="s">
        <v>563</v>
      </c>
    </row>
    <row r="13" spans="1:15" x14ac:dyDescent="0.25">
      <c r="A13" t="s">
        <v>582</v>
      </c>
      <c r="D13" s="12">
        <v>10.194028035836389</v>
      </c>
      <c r="E13" s="10">
        <v>24.99</v>
      </c>
      <c r="F13" s="10">
        <v>4.5</v>
      </c>
      <c r="H13" t="s">
        <v>547</v>
      </c>
      <c r="I13">
        <v>2</v>
      </c>
      <c r="J13">
        <v>1.8658663756985732</v>
      </c>
      <c r="K13">
        <v>0.93293318784928658</v>
      </c>
      <c r="L13">
        <v>0.38480612256379815</v>
      </c>
      <c r="M13" s="24">
        <v>0.68161684131025257</v>
      </c>
      <c r="O13" s="27">
        <f>_xlfn.F.INV.RT(0.05,I13,I14)</f>
        <v>3.090186675154857</v>
      </c>
    </row>
    <row r="14" spans="1:15" x14ac:dyDescent="0.25">
      <c r="A14" t="s">
        <v>583</v>
      </c>
      <c r="D14" s="11">
        <v>10.368321592451119</v>
      </c>
      <c r="E14" s="8">
        <v>14.99</v>
      </c>
      <c r="F14" s="8">
        <v>4.5999999999999996</v>
      </c>
      <c r="H14" t="s">
        <v>548</v>
      </c>
      <c r="I14">
        <v>97</v>
      </c>
      <c r="J14">
        <v>235.16912521675758</v>
      </c>
      <c r="K14">
        <v>2.424423971306779</v>
      </c>
      <c r="O14" s="27"/>
    </row>
    <row r="15" spans="1:15" ht="15.75" thickBot="1" x14ac:dyDescent="0.3">
      <c r="D15" s="12">
        <v>9.8333869248566383</v>
      </c>
      <c r="E15" s="10">
        <v>12.42</v>
      </c>
      <c r="F15" s="10">
        <v>4.4000000000000004</v>
      </c>
      <c r="H15" s="21" t="s">
        <v>531</v>
      </c>
      <c r="I15" s="21">
        <v>99</v>
      </c>
      <c r="J15" s="21">
        <v>237.03499159245615</v>
      </c>
      <c r="K15" s="21"/>
      <c r="L15" s="21"/>
      <c r="M15" s="21"/>
      <c r="O15" s="28"/>
    </row>
    <row r="16" spans="1:15" ht="15.75" thickBot="1" x14ac:dyDescent="0.3">
      <c r="A16" s="15" t="s">
        <v>566</v>
      </c>
      <c r="D16" s="11">
        <v>9.4035194387709193</v>
      </c>
      <c r="E16" s="8">
        <v>15.55</v>
      </c>
      <c r="F16" s="8">
        <v>4.5</v>
      </c>
    </row>
    <row r="17" spans="1:18" x14ac:dyDescent="0.25">
      <c r="A17" t="s">
        <v>564</v>
      </c>
      <c r="D17" s="12">
        <v>9.5708778467292124</v>
      </c>
      <c r="E17" s="10">
        <v>14.99</v>
      </c>
      <c r="F17" s="10">
        <v>4.4000000000000004</v>
      </c>
      <c r="H17" s="22"/>
      <c r="I17" s="22" t="s">
        <v>555</v>
      </c>
      <c r="J17" s="22" t="s">
        <v>544</v>
      </c>
      <c r="K17" s="22" t="s">
        <v>556</v>
      </c>
      <c r="L17" s="22" t="s">
        <v>557</v>
      </c>
      <c r="M17" s="22" t="s">
        <v>558</v>
      </c>
      <c r="N17" s="22" t="s">
        <v>559</v>
      </c>
      <c r="O17" s="22" t="s">
        <v>560</v>
      </c>
      <c r="P17" s="22" t="s">
        <v>561</v>
      </c>
      <c r="R17" s="26" t="s">
        <v>562</v>
      </c>
    </row>
    <row r="18" spans="1:18" x14ac:dyDescent="0.25">
      <c r="A18" t="s">
        <v>565</v>
      </c>
      <c r="D18" s="11">
        <v>10.45207128190472</v>
      </c>
      <c r="E18" s="8">
        <v>13.99</v>
      </c>
      <c r="F18" s="8">
        <v>4.4000000000000004</v>
      </c>
      <c r="H18" t="s">
        <v>549</v>
      </c>
      <c r="I18">
        <v>5.323104066623972</v>
      </c>
      <c r="J18">
        <v>4.9832423696641293</v>
      </c>
      <c r="K18">
        <v>1.0682009165415627</v>
      </c>
      <c r="L18" s="24">
        <v>0.28808110602203635</v>
      </c>
      <c r="M18">
        <v>-4.5672526059756935</v>
      </c>
      <c r="N18">
        <v>15.213460739223638</v>
      </c>
      <c r="O18">
        <v>-4.5672526059756935</v>
      </c>
      <c r="P18">
        <v>15.213460739223638</v>
      </c>
      <c r="R18" s="27">
        <f>_xlfn.T.INV.2T(0.05,I14)</f>
        <v>1.9847231860139838</v>
      </c>
    </row>
    <row r="19" spans="1:18" x14ac:dyDescent="0.25">
      <c r="A19" t="s">
        <v>567</v>
      </c>
      <c r="D19" s="12">
        <v>7.4764723811639051</v>
      </c>
      <c r="E19" s="10">
        <v>9.99</v>
      </c>
      <c r="F19" s="10">
        <v>4.5</v>
      </c>
      <c r="H19" t="s">
        <v>537</v>
      </c>
      <c r="I19">
        <v>-5.6327299379795295E-3</v>
      </c>
      <c r="J19">
        <v>7.078294799983207E-3</v>
      </c>
      <c r="K19">
        <v>-0.79577498495723753</v>
      </c>
      <c r="L19" s="24">
        <v>0.42810595787383054</v>
      </c>
      <c r="M19">
        <v>-1.9681185744948416E-2</v>
      </c>
      <c r="N19">
        <v>8.4157258689893551E-3</v>
      </c>
      <c r="O19">
        <v>-1.9681185744948416E-2</v>
      </c>
      <c r="P19">
        <v>8.4157258689893551E-3</v>
      </c>
      <c r="R19" s="27"/>
    </row>
    <row r="20" spans="1:18" ht="15.75" thickBot="1" x14ac:dyDescent="0.3">
      <c r="D20" s="11">
        <v>7.5923661285197959</v>
      </c>
      <c r="E20" s="8">
        <v>41.73</v>
      </c>
      <c r="F20" s="8">
        <v>4.8</v>
      </c>
      <c r="H20" s="21" t="s">
        <v>538</v>
      </c>
      <c r="I20" s="21">
        <v>0.55290085855272808</v>
      </c>
      <c r="J20" s="21">
        <v>1.1238941410802217</v>
      </c>
      <c r="K20" s="21">
        <v>0.49195101063638602</v>
      </c>
      <c r="L20" s="25">
        <v>0.62386547807607728</v>
      </c>
      <c r="M20" s="21">
        <v>-1.677717901874459</v>
      </c>
      <c r="N20" s="21">
        <v>2.7835196189799154</v>
      </c>
      <c r="O20" s="21">
        <v>-1.677717901874459</v>
      </c>
      <c r="P20" s="21">
        <v>2.7835196189799154</v>
      </c>
      <c r="R20" s="28"/>
    </row>
    <row r="21" spans="1:18" x14ac:dyDescent="0.25">
      <c r="A21" s="15" t="s">
        <v>568</v>
      </c>
      <c r="D21" s="12">
        <v>8.6090428450461154</v>
      </c>
      <c r="E21" s="10">
        <v>22.95</v>
      </c>
      <c r="F21" s="10">
        <v>4.4000000000000004</v>
      </c>
    </row>
    <row r="22" spans="1:18" x14ac:dyDescent="0.25">
      <c r="A22" t="s">
        <v>569</v>
      </c>
      <c r="D22" s="11">
        <v>8.84130362048157</v>
      </c>
      <c r="E22" s="8">
        <v>14.16</v>
      </c>
      <c r="F22" s="8">
        <v>4.5999999999999996</v>
      </c>
    </row>
    <row r="23" spans="1:18" x14ac:dyDescent="0.25">
      <c r="A23" t="s">
        <v>570</v>
      </c>
      <c r="D23" s="12">
        <v>6.5102583405231496</v>
      </c>
      <c r="E23" s="10">
        <v>8.99</v>
      </c>
      <c r="F23" s="10">
        <v>4.5</v>
      </c>
    </row>
    <row r="24" spans="1:18" x14ac:dyDescent="0.25">
      <c r="A24" t="s">
        <v>571</v>
      </c>
      <c r="D24" s="11">
        <v>9.2873940014184733</v>
      </c>
      <c r="E24" s="8">
        <v>15.87</v>
      </c>
      <c r="F24" s="8">
        <v>4.4000000000000004</v>
      </c>
    </row>
    <row r="25" spans="1:18" x14ac:dyDescent="0.25">
      <c r="D25" s="12">
        <v>8.7687298172316641</v>
      </c>
      <c r="E25" s="10">
        <v>35.99</v>
      </c>
      <c r="F25" s="10">
        <v>4.5</v>
      </c>
    </row>
    <row r="26" spans="1:18" x14ac:dyDescent="0.25">
      <c r="A26" s="15" t="s">
        <v>572</v>
      </c>
      <c r="D26" s="11">
        <v>9.9384202390761498</v>
      </c>
      <c r="E26" s="8">
        <v>9.99</v>
      </c>
      <c r="F26" s="8">
        <v>4.4000000000000004</v>
      </c>
    </row>
    <row r="27" spans="1:18" x14ac:dyDescent="0.25">
      <c r="A27" t="s">
        <v>573</v>
      </c>
      <c r="D27" s="12">
        <v>8.7837026986352171</v>
      </c>
      <c r="E27" s="10">
        <v>41.16</v>
      </c>
      <c r="F27" s="10">
        <v>4.7</v>
      </c>
    </row>
    <row r="28" spans="1:18" x14ac:dyDescent="0.25">
      <c r="A28" t="s">
        <v>574</v>
      </c>
      <c r="D28" s="11">
        <v>7.8276395463664219</v>
      </c>
      <c r="E28" s="8">
        <v>11.57</v>
      </c>
      <c r="F28" s="8">
        <v>4.0999999999999996</v>
      </c>
    </row>
    <row r="29" spans="1:18" x14ac:dyDescent="0.25">
      <c r="D29" s="12">
        <v>8.8722067560283033</v>
      </c>
      <c r="E29" s="10">
        <v>14.99</v>
      </c>
      <c r="F29" s="10">
        <v>4.3</v>
      </c>
    </row>
    <row r="30" spans="1:18" x14ac:dyDescent="0.25">
      <c r="A30" s="15" t="s">
        <v>575</v>
      </c>
      <c r="D30" s="11">
        <v>6.5567783561580422</v>
      </c>
      <c r="E30" s="8">
        <v>9.99</v>
      </c>
      <c r="F30" s="8">
        <v>4.5</v>
      </c>
    </row>
    <row r="31" spans="1:18" x14ac:dyDescent="0.25">
      <c r="A31" t="s">
        <v>576</v>
      </c>
      <c r="D31" s="12">
        <v>8.4642142666253513</v>
      </c>
      <c r="E31" s="10">
        <v>17.989999999999998</v>
      </c>
      <c r="F31" s="10">
        <v>4.5999999999999996</v>
      </c>
    </row>
    <row r="32" spans="1:18" x14ac:dyDescent="0.25">
      <c r="A32" t="s">
        <v>577</v>
      </c>
      <c r="D32" s="11">
        <v>8.7222542351796815</v>
      </c>
      <c r="E32" s="8">
        <v>25</v>
      </c>
      <c r="F32" s="8">
        <v>4.5999999999999996</v>
      </c>
    </row>
    <row r="33" spans="1:6" x14ac:dyDescent="0.25">
      <c r="A33" t="s">
        <v>578</v>
      </c>
      <c r="D33" s="12">
        <v>8.8939844389397944</v>
      </c>
      <c r="E33" s="10">
        <v>9.99</v>
      </c>
      <c r="F33" s="10">
        <v>4.4000000000000004</v>
      </c>
    </row>
    <row r="34" spans="1:6" x14ac:dyDescent="0.25">
      <c r="D34" s="11">
        <v>8.1164170727942047</v>
      </c>
      <c r="E34" s="8">
        <v>3.99</v>
      </c>
      <c r="F34" s="8">
        <v>4.5999999999999996</v>
      </c>
    </row>
    <row r="35" spans="1:6" x14ac:dyDescent="0.25">
      <c r="D35" s="12">
        <v>9.0254555327790627</v>
      </c>
      <c r="E35" s="10">
        <v>25.99</v>
      </c>
      <c r="F35" s="10">
        <v>4.5999999999999996</v>
      </c>
    </row>
    <row r="36" spans="1:6" x14ac:dyDescent="0.25">
      <c r="D36" s="11">
        <v>7.1831117017432806</v>
      </c>
      <c r="E36" s="8">
        <v>49.1</v>
      </c>
      <c r="F36" s="8">
        <v>4.7</v>
      </c>
    </row>
    <row r="37" spans="1:6" x14ac:dyDescent="0.25">
      <c r="D37" s="12">
        <v>6.4457198193855776</v>
      </c>
      <c r="E37" s="10">
        <v>19.989999999999998</v>
      </c>
      <c r="F37" s="10">
        <v>4.5</v>
      </c>
    </row>
    <row r="38" spans="1:6" x14ac:dyDescent="0.25">
      <c r="D38" s="11">
        <v>6.2205901700997392</v>
      </c>
      <c r="E38" s="8">
        <v>26.99</v>
      </c>
      <c r="F38" s="8">
        <v>4.5</v>
      </c>
    </row>
    <row r="39" spans="1:6" x14ac:dyDescent="0.25">
      <c r="D39" s="12">
        <v>9.1319463045481708</v>
      </c>
      <c r="E39" s="10">
        <v>21.99</v>
      </c>
      <c r="F39" s="10">
        <v>4.4000000000000004</v>
      </c>
    </row>
    <row r="40" spans="1:6" x14ac:dyDescent="0.25">
      <c r="D40" s="11">
        <v>6.1463292576688966</v>
      </c>
      <c r="E40" s="8">
        <v>19.989999999999998</v>
      </c>
      <c r="F40" s="8">
        <v>4.5</v>
      </c>
    </row>
    <row r="41" spans="1:6" x14ac:dyDescent="0.25">
      <c r="D41" s="12">
        <v>6.9791452750688094</v>
      </c>
      <c r="E41" s="10">
        <v>15.99</v>
      </c>
      <c r="F41" s="10">
        <v>4.4000000000000004</v>
      </c>
    </row>
    <row r="42" spans="1:6" x14ac:dyDescent="0.25">
      <c r="D42" s="11">
        <v>6.8416154764775916</v>
      </c>
      <c r="E42" s="8">
        <v>33.99</v>
      </c>
      <c r="F42" s="8">
        <v>4.4000000000000004</v>
      </c>
    </row>
    <row r="43" spans="1:6" x14ac:dyDescent="0.25">
      <c r="D43" s="12">
        <v>9.188299241099303</v>
      </c>
      <c r="E43" s="10">
        <v>26.99</v>
      </c>
      <c r="F43" s="10">
        <v>4.4000000000000004</v>
      </c>
    </row>
    <row r="44" spans="1:6" x14ac:dyDescent="0.25">
      <c r="D44" s="11">
        <v>9.4690054953574716</v>
      </c>
      <c r="E44" s="8">
        <v>21.99</v>
      </c>
      <c r="F44" s="8">
        <v>4.4000000000000004</v>
      </c>
    </row>
    <row r="45" spans="1:6" x14ac:dyDescent="0.25">
      <c r="D45" s="12">
        <v>9.3276788643934161</v>
      </c>
      <c r="E45" s="10">
        <v>14.99</v>
      </c>
      <c r="F45" s="10">
        <v>4.4000000000000004</v>
      </c>
    </row>
    <row r="46" spans="1:6" x14ac:dyDescent="0.25">
      <c r="D46" s="11">
        <v>6.5708829623395841</v>
      </c>
      <c r="E46" s="8">
        <v>14.97</v>
      </c>
      <c r="F46" s="8">
        <v>4.4000000000000004</v>
      </c>
    </row>
    <row r="47" spans="1:6" x14ac:dyDescent="0.25">
      <c r="D47" s="12">
        <v>7.9789963708541141</v>
      </c>
      <c r="E47" s="10">
        <v>7.0000000000000001E-3</v>
      </c>
      <c r="F47" s="10">
        <v>4.5</v>
      </c>
    </row>
    <row r="48" spans="1:6" x14ac:dyDescent="0.25">
      <c r="D48" s="11">
        <v>8.3742461820963037</v>
      </c>
      <c r="E48" s="8">
        <v>15.99</v>
      </c>
      <c r="F48" s="8">
        <v>4.3</v>
      </c>
    </row>
    <row r="49" spans="4:6" x14ac:dyDescent="0.25">
      <c r="D49" s="12">
        <v>8.5923006639030426</v>
      </c>
      <c r="E49" s="10">
        <v>19.989999999999998</v>
      </c>
      <c r="F49" s="10">
        <v>4.5</v>
      </c>
    </row>
    <row r="50" spans="4:6" x14ac:dyDescent="0.25">
      <c r="D50" s="11">
        <v>9.3150606827465854</v>
      </c>
      <c r="E50" s="8">
        <v>15.98</v>
      </c>
      <c r="F50" s="8">
        <v>4.3</v>
      </c>
    </row>
    <row r="51" spans="4:6" x14ac:dyDescent="0.25">
      <c r="D51" s="12">
        <v>8.6197497797413298</v>
      </c>
      <c r="E51" s="10">
        <v>24.99</v>
      </c>
      <c r="F51" s="10">
        <v>4.3</v>
      </c>
    </row>
    <row r="52" spans="4:6" x14ac:dyDescent="0.25">
      <c r="D52" s="11">
        <v>7.897668150726906</v>
      </c>
      <c r="E52" s="8">
        <v>12.09</v>
      </c>
      <c r="F52" s="8">
        <v>4.2</v>
      </c>
    </row>
    <row r="53" spans="4:6" x14ac:dyDescent="0.25">
      <c r="D53" s="12">
        <v>10.049706862037111</v>
      </c>
      <c r="E53" s="10">
        <v>14.48</v>
      </c>
      <c r="F53" s="10">
        <v>4.3</v>
      </c>
    </row>
    <row r="54" spans="4:6" x14ac:dyDescent="0.25">
      <c r="D54" s="11">
        <v>7.6838639802564286</v>
      </c>
      <c r="E54" s="8">
        <v>29.99</v>
      </c>
      <c r="F54" s="8">
        <v>4.2</v>
      </c>
    </row>
    <row r="55" spans="4:6" x14ac:dyDescent="0.25">
      <c r="D55" s="12">
        <v>6.505784060128228</v>
      </c>
      <c r="E55" s="10">
        <v>14.99</v>
      </c>
      <c r="F55" s="10">
        <v>4.5</v>
      </c>
    </row>
    <row r="56" spans="4:6" x14ac:dyDescent="0.25">
      <c r="D56" s="11">
        <v>7.2269360184932889</v>
      </c>
      <c r="E56" s="8">
        <v>37.229999999999997</v>
      </c>
      <c r="F56" s="8">
        <v>4.5</v>
      </c>
    </row>
    <row r="57" spans="4:6" x14ac:dyDescent="0.25">
      <c r="D57" s="12">
        <v>6.3207682942505823</v>
      </c>
      <c r="E57" s="10">
        <v>14.99</v>
      </c>
      <c r="F57" s="10">
        <v>4.5999999999999996</v>
      </c>
    </row>
    <row r="58" spans="4:6" x14ac:dyDescent="0.25">
      <c r="D58" s="11">
        <v>5.9295891433898946</v>
      </c>
      <c r="E58" s="8">
        <v>14.97</v>
      </c>
      <c r="F58" s="8">
        <v>4.5999999999999996</v>
      </c>
    </row>
    <row r="59" spans="4:6" x14ac:dyDescent="0.25">
      <c r="D59" s="12">
        <v>6.9874902470009914</v>
      </c>
      <c r="E59" s="10">
        <v>16.8</v>
      </c>
      <c r="F59" s="10">
        <v>4.5</v>
      </c>
    </row>
    <row r="60" spans="4:6" x14ac:dyDescent="0.25">
      <c r="D60" s="11">
        <v>7.6615270813585168</v>
      </c>
      <c r="E60" s="8">
        <v>27.99</v>
      </c>
      <c r="F60" s="8">
        <v>4.3</v>
      </c>
    </row>
    <row r="61" spans="4:6" x14ac:dyDescent="0.25">
      <c r="D61" s="12">
        <v>9.9588276475692918</v>
      </c>
      <c r="E61" s="10">
        <v>7.0000000000000001E-3</v>
      </c>
      <c r="F61" s="10">
        <v>4.5999999999999996</v>
      </c>
    </row>
    <row r="62" spans="4:6" x14ac:dyDescent="0.25">
      <c r="D62" s="11">
        <v>4.499809670330265</v>
      </c>
      <c r="E62" s="8">
        <v>13.97</v>
      </c>
      <c r="F62" s="8">
        <v>4.5999999999999996</v>
      </c>
    </row>
    <row r="63" spans="4:6" x14ac:dyDescent="0.25">
      <c r="D63" s="12">
        <v>6.5624440936937196</v>
      </c>
      <c r="E63" s="10">
        <v>25.99</v>
      </c>
      <c r="F63" s="10">
        <v>4.5</v>
      </c>
    </row>
    <row r="64" spans="4:6" x14ac:dyDescent="0.25">
      <c r="D64" s="11">
        <v>5.8664680569332974</v>
      </c>
      <c r="E64" s="8">
        <v>7.0000000000000001E-3</v>
      </c>
      <c r="F64" s="8">
        <v>4.5</v>
      </c>
    </row>
    <row r="65" spans="4:6" x14ac:dyDescent="0.25">
      <c r="D65" s="12">
        <v>7.3185395485679008</v>
      </c>
      <c r="E65" s="10">
        <v>16.98</v>
      </c>
      <c r="F65" s="10">
        <v>4.5</v>
      </c>
    </row>
    <row r="66" spans="4:6" x14ac:dyDescent="0.25">
      <c r="D66" s="11">
        <v>3.9512437185814271</v>
      </c>
      <c r="E66" s="8">
        <v>13.99</v>
      </c>
      <c r="F66" s="8">
        <v>4.3</v>
      </c>
    </row>
    <row r="67" spans="4:6" x14ac:dyDescent="0.25">
      <c r="D67" s="12">
        <v>9.7083846613774405</v>
      </c>
      <c r="E67" s="10">
        <v>10.99</v>
      </c>
      <c r="F67" s="10">
        <v>4.4000000000000004</v>
      </c>
    </row>
    <row r="68" spans="4:6" x14ac:dyDescent="0.25">
      <c r="D68" s="11">
        <v>6.4232469635335194</v>
      </c>
      <c r="E68" s="8">
        <v>16.989999999999998</v>
      </c>
      <c r="F68" s="8">
        <v>4.3</v>
      </c>
    </row>
    <row r="69" spans="4:6" x14ac:dyDescent="0.25">
      <c r="D69" s="12">
        <v>7.0130157896396286</v>
      </c>
      <c r="E69" s="10">
        <v>18.989999999999998</v>
      </c>
      <c r="F69" s="10">
        <v>4.2</v>
      </c>
    </row>
    <row r="70" spans="4:6" x14ac:dyDescent="0.25">
      <c r="D70" s="11">
        <v>5.2149357576089859</v>
      </c>
      <c r="E70" s="8">
        <v>18.989999999999998</v>
      </c>
      <c r="F70" s="8">
        <v>4.5</v>
      </c>
    </row>
    <row r="71" spans="4:6" x14ac:dyDescent="0.25">
      <c r="D71" s="12">
        <v>6.517671272912275</v>
      </c>
      <c r="E71" s="10">
        <v>14.99</v>
      </c>
      <c r="F71" s="10">
        <v>4.7</v>
      </c>
    </row>
    <row r="72" spans="4:6" x14ac:dyDescent="0.25">
      <c r="D72" s="11">
        <v>6.694562058521095</v>
      </c>
      <c r="E72" s="8">
        <v>78</v>
      </c>
      <c r="F72" s="8">
        <v>4.3</v>
      </c>
    </row>
    <row r="73" spans="4:6" x14ac:dyDescent="0.25">
      <c r="D73" s="12">
        <v>7.6520707461164816</v>
      </c>
      <c r="E73" s="10">
        <v>8.5</v>
      </c>
      <c r="F73" s="10">
        <v>4.5</v>
      </c>
    </row>
    <row r="74" spans="4:6" x14ac:dyDescent="0.25">
      <c r="D74" s="11">
        <v>6.7580945044277314</v>
      </c>
      <c r="E74" s="8">
        <v>12.99</v>
      </c>
      <c r="F74" s="8">
        <v>4.3</v>
      </c>
    </row>
    <row r="75" spans="4:6" x14ac:dyDescent="0.25">
      <c r="D75" s="12">
        <v>8.1122279583497239</v>
      </c>
      <c r="E75" s="10">
        <v>7.0000000000000001E-3</v>
      </c>
      <c r="F75" s="10">
        <v>4.5999999999999996</v>
      </c>
    </row>
    <row r="76" spans="4:6" x14ac:dyDescent="0.25">
      <c r="D76" s="11">
        <v>7.1057861294812712</v>
      </c>
      <c r="E76" s="8">
        <v>40</v>
      </c>
      <c r="F76" s="8">
        <v>4.5999999999999996</v>
      </c>
    </row>
    <row r="77" spans="4:6" x14ac:dyDescent="0.25">
      <c r="D77" s="12">
        <v>7.8493238180405607</v>
      </c>
      <c r="E77" s="10">
        <v>16.989999999999998</v>
      </c>
      <c r="F77" s="10">
        <v>4.5</v>
      </c>
    </row>
    <row r="78" spans="4:6" x14ac:dyDescent="0.25">
      <c r="D78" s="11">
        <v>7.6187423776704133</v>
      </c>
      <c r="E78" s="8">
        <v>23.81</v>
      </c>
      <c r="F78" s="8">
        <v>4.3</v>
      </c>
    </row>
    <row r="79" spans="4:6" x14ac:dyDescent="0.25">
      <c r="D79" s="12">
        <v>6.8977049431286357</v>
      </c>
      <c r="E79" s="10">
        <v>28.2</v>
      </c>
      <c r="F79" s="10">
        <v>4.5</v>
      </c>
    </row>
    <row r="80" spans="4:6" x14ac:dyDescent="0.25">
      <c r="D80" s="11">
        <v>5.0039463059454592</v>
      </c>
      <c r="E80" s="8">
        <v>21.95</v>
      </c>
      <c r="F80" s="8">
        <v>4.5</v>
      </c>
    </row>
    <row r="81" spans="4:6" x14ac:dyDescent="0.25">
      <c r="D81" s="12">
        <v>9.8393222950603416</v>
      </c>
      <c r="E81" s="10">
        <v>11.97</v>
      </c>
      <c r="F81" s="10">
        <v>4.5</v>
      </c>
    </row>
    <row r="82" spans="4:6" x14ac:dyDescent="0.25">
      <c r="D82" s="11">
        <v>5.8406416573733981</v>
      </c>
      <c r="E82" s="8">
        <v>14.98</v>
      </c>
      <c r="F82" s="8">
        <v>4.4000000000000004</v>
      </c>
    </row>
    <row r="83" spans="4:6" x14ac:dyDescent="0.25">
      <c r="D83" s="12">
        <v>6.9865664594064274</v>
      </c>
      <c r="E83" s="10">
        <v>22.99</v>
      </c>
      <c r="F83" s="10">
        <v>4.3</v>
      </c>
    </row>
    <row r="84" spans="4:6" x14ac:dyDescent="0.25">
      <c r="D84" s="11">
        <v>8.6666471445845747</v>
      </c>
      <c r="E84" s="8">
        <v>7.0000000000000001E-3</v>
      </c>
      <c r="F84" s="8">
        <v>4.4000000000000004</v>
      </c>
    </row>
    <row r="85" spans="4:6" x14ac:dyDescent="0.25">
      <c r="D85" s="12">
        <v>7.8135915529524329</v>
      </c>
      <c r="E85" s="10">
        <v>13.99</v>
      </c>
      <c r="F85" s="10">
        <v>4.4000000000000004</v>
      </c>
    </row>
    <row r="86" spans="4:6" x14ac:dyDescent="0.25">
      <c r="D86" s="11">
        <v>6.6682282484174031</v>
      </c>
      <c r="E86" s="8">
        <v>195</v>
      </c>
      <c r="F86" s="8">
        <v>4.5999999999999996</v>
      </c>
    </row>
    <row r="87" spans="4:6" x14ac:dyDescent="0.25">
      <c r="D87" s="12">
        <v>8.0802374162167023</v>
      </c>
      <c r="E87" s="10">
        <v>35</v>
      </c>
      <c r="F87" s="10">
        <v>4.4000000000000004</v>
      </c>
    </row>
    <row r="88" spans="4:6" x14ac:dyDescent="0.25">
      <c r="D88" s="11">
        <v>6.9275579062783166</v>
      </c>
      <c r="E88" s="8">
        <v>7.0000000000000001E-3</v>
      </c>
      <c r="F88" s="8">
        <v>4.5</v>
      </c>
    </row>
    <row r="89" spans="4:6" x14ac:dyDescent="0.25">
      <c r="D89" s="12">
        <v>7.6506445514368959</v>
      </c>
      <c r="E89" s="10">
        <v>13.98</v>
      </c>
      <c r="F89" s="10">
        <v>4.3</v>
      </c>
    </row>
    <row r="90" spans="4:6" x14ac:dyDescent="0.25">
      <c r="D90" s="11">
        <v>6.1882641230825897</v>
      </c>
      <c r="E90" s="8">
        <v>19.989999999999998</v>
      </c>
      <c r="F90" s="8">
        <v>4.5</v>
      </c>
    </row>
    <row r="91" spans="4:6" x14ac:dyDescent="0.25">
      <c r="D91" s="12">
        <v>6.642486801367256</v>
      </c>
      <c r="E91" s="10">
        <v>48</v>
      </c>
      <c r="F91" s="10">
        <v>4.5999999999999996</v>
      </c>
    </row>
    <row r="92" spans="4:6" x14ac:dyDescent="0.25">
      <c r="D92" s="11">
        <v>6.3699009828282271</v>
      </c>
      <c r="E92" s="8">
        <v>7.0000000000000001E-3</v>
      </c>
      <c r="F92" s="8">
        <v>4.5</v>
      </c>
    </row>
    <row r="93" spans="4:6" x14ac:dyDescent="0.25">
      <c r="D93" s="12">
        <v>6.4707995037826018</v>
      </c>
      <c r="E93" s="10">
        <v>23.99</v>
      </c>
      <c r="F93" s="10">
        <v>4.4000000000000004</v>
      </c>
    </row>
    <row r="94" spans="4:6" x14ac:dyDescent="0.25">
      <c r="D94" s="11">
        <v>8.0013550258267028</v>
      </c>
      <c r="E94" s="8">
        <v>21.98</v>
      </c>
      <c r="F94" s="8">
        <v>4.4000000000000004</v>
      </c>
    </row>
    <row r="95" spans="4:6" x14ac:dyDescent="0.25">
      <c r="D95" s="12">
        <v>3.044522437723423</v>
      </c>
      <c r="E95" s="10">
        <v>17.989999999999998</v>
      </c>
      <c r="F95" s="10">
        <v>4.2</v>
      </c>
    </row>
    <row r="96" spans="4:6" x14ac:dyDescent="0.25">
      <c r="D96" s="11">
        <v>5.0106352940962564</v>
      </c>
      <c r="E96" s="8">
        <v>16.989999999999998</v>
      </c>
      <c r="F96" s="8">
        <v>4</v>
      </c>
    </row>
    <row r="97" spans="4:6" x14ac:dyDescent="0.25">
      <c r="D97" s="12">
        <v>8.0159878110272373</v>
      </c>
      <c r="E97" s="10">
        <v>93</v>
      </c>
      <c r="F97" s="10">
        <v>4.7</v>
      </c>
    </row>
    <row r="98" spans="4:6" x14ac:dyDescent="0.25">
      <c r="D98" s="11">
        <v>7.5963923040641959</v>
      </c>
      <c r="E98" s="8">
        <v>25.95</v>
      </c>
      <c r="F98" s="8">
        <v>4.4000000000000004</v>
      </c>
    </row>
    <row r="99" spans="4:6" x14ac:dyDescent="0.25">
      <c r="D99" s="12">
        <v>7.7968803427835223</v>
      </c>
      <c r="E99" s="10">
        <v>9.89</v>
      </c>
      <c r="F99" s="10">
        <v>4.2</v>
      </c>
    </row>
    <row r="100" spans="4:6" x14ac:dyDescent="0.25">
      <c r="D100" s="11">
        <v>4.6151205168412597</v>
      </c>
      <c r="E100" s="8">
        <v>13.97</v>
      </c>
      <c r="F100" s="8">
        <v>4.4000000000000004</v>
      </c>
    </row>
    <row r="101" spans="4:6" x14ac:dyDescent="0.25">
      <c r="D101" s="17">
        <v>9.3495804390676867</v>
      </c>
      <c r="E101" s="18">
        <v>7.0000000000000001E-3</v>
      </c>
      <c r="F101" s="18">
        <v>4.5999999999999996</v>
      </c>
    </row>
  </sheetData>
  <conditionalFormatting sqref="L18:L20">
    <cfRule type="cellIs" dxfId="1" priority="3" operator="greaterThan">
      <formula>0.05</formula>
    </cfRule>
  </conditionalFormatting>
  <conditionalFormatting sqref="M13">
    <cfRule type="cellIs" dxfId="0" priority="4" operator="greaterThan">
      <formula>0.05</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1"/>
  <sheetViews>
    <sheetView workbookViewId="0">
      <selection activeCell="A26" sqref="A26"/>
    </sheetView>
  </sheetViews>
  <sheetFormatPr defaultColWidth="8.85546875" defaultRowHeight="15" x14ac:dyDescent="0.25"/>
  <cols>
    <col min="1" max="1" width="53.5703125" customWidth="1"/>
    <col min="2" max="2" width="23.140625" customWidth="1"/>
    <col min="3" max="3" width="8.85546875" customWidth="1"/>
    <col min="4" max="4" width="13.85546875" customWidth="1"/>
    <col min="5" max="5" width="13" customWidth="1"/>
    <col min="6" max="6" width="12.28515625" customWidth="1"/>
    <col min="7" max="7" width="17.28515625" customWidth="1"/>
    <col min="9" max="9" width="15.140625" customWidth="1"/>
    <col min="10" max="10" width="18" customWidth="1"/>
    <col min="13" max="13" width="38" customWidth="1"/>
    <col min="14" max="14" width="20.85546875" customWidth="1"/>
    <col min="15" max="15" width="18.85546875" customWidth="1"/>
  </cols>
  <sheetData>
    <row r="1" spans="1:15" x14ac:dyDescent="0.25">
      <c r="A1" s="6" t="s">
        <v>488</v>
      </c>
      <c r="B1" s="6" t="s">
        <v>478</v>
      </c>
      <c r="E1" s="20" t="s">
        <v>537</v>
      </c>
      <c r="F1" s="20" t="s">
        <v>538</v>
      </c>
      <c r="G1" s="20" t="s">
        <v>591</v>
      </c>
      <c r="I1" s="20" t="s">
        <v>593</v>
      </c>
      <c r="J1" s="20" t="s">
        <v>592</v>
      </c>
    </row>
    <row r="2" spans="1:15" x14ac:dyDescent="0.25">
      <c r="A2" t="s">
        <v>489</v>
      </c>
      <c r="B2" s="38">
        <f>Summary!B4</f>
        <v>15.984999999999999</v>
      </c>
      <c r="E2" s="8">
        <v>7.35</v>
      </c>
      <c r="F2" s="8">
        <v>4.5</v>
      </c>
      <c r="G2" s="8">
        <f>IF(E2&gt;=$B$2,1,0)</f>
        <v>0</v>
      </c>
      <c r="I2" s="8" cm="1">
        <f t="array" ref="I2:I51">_xlfn._xlws.FILTER(F:F,G:G=1)</f>
        <v>4.2</v>
      </c>
      <c r="J2" s="8" cm="1">
        <f t="array" ref="J2:J51">_xlfn._xlws.FILTER(F2:F101,G2:G101=0)</f>
        <v>4.5</v>
      </c>
      <c r="M2" t="s">
        <v>594</v>
      </c>
    </row>
    <row r="3" spans="1:15" ht="15.75" thickBot="1" x14ac:dyDescent="0.3">
      <c r="A3" t="s">
        <v>490</v>
      </c>
      <c r="B3" s="31">
        <f>N5</f>
        <v>4.4460000000000006</v>
      </c>
      <c r="E3" s="10">
        <v>13.99</v>
      </c>
      <c r="F3" s="10">
        <v>4.4000000000000004</v>
      </c>
      <c r="G3" s="8">
        <f>IF(E3&gt;=$B$2,1,0)</f>
        <v>0</v>
      </c>
      <c r="I3" s="8">
        <v>4.5</v>
      </c>
      <c r="J3" s="8">
        <v>4.4000000000000004</v>
      </c>
    </row>
    <row r="4" spans="1:15" x14ac:dyDescent="0.25">
      <c r="A4" t="s">
        <v>491</v>
      </c>
      <c r="B4" s="31">
        <f>O5</f>
        <v>4.4560000000000004</v>
      </c>
      <c r="E4" s="8">
        <v>15.99</v>
      </c>
      <c r="F4" s="8">
        <v>4.2</v>
      </c>
      <c r="G4" s="8">
        <f t="shared" ref="G4:G66" si="0">IF(E4&gt;=$B$2,1,0)</f>
        <v>1</v>
      </c>
      <c r="I4" s="8">
        <v>4.5999999999999996</v>
      </c>
      <c r="J4" s="8">
        <v>4.5999999999999996</v>
      </c>
      <c r="M4" s="22"/>
      <c r="N4" s="22" t="s">
        <v>593</v>
      </c>
      <c r="O4" s="22" t="s">
        <v>592</v>
      </c>
    </row>
    <row r="5" spans="1:15" x14ac:dyDescent="0.25">
      <c r="A5" t="s">
        <v>492</v>
      </c>
      <c r="B5" s="31">
        <f>N11</f>
        <v>-0.3528878523443531</v>
      </c>
      <c r="E5" s="10">
        <v>9.9600000000000009</v>
      </c>
      <c r="F5" s="10">
        <v>4.5999999999999996</v>
      </c>
      <c r="G5" s="8">
        <f t="shared" si="0"/>
        <v>0</v>
      </c>
      <c r="I5" s="8">
        <v>4.3</v>
      </c>
      <c r="J5" s="8">
        <v>4.5999999999999996</v>
      </c>
      <c r="M5" t="s">
        <v>595</v>
      </c>
      <c r="N5">
        <v>4.4460000000000006</v>
      </c>
      <c r="O5">
        <v>4.4560000000000004</v>
      </c>
    </row>
    <row r="6" spans="1:15" x14ac:dyDescent="0.25">
      <c r="A6" t="s">
        <v>493</v>
      </c>
      <c r="B6" s="31">
        <f>N14</f>
        <v>0.72493040059089209</v>
      </c>
      <c r="E6" s="8">
        <v>13.99</v>
      </c>
      <c r="F6" s="8">
        <v>4.5999999999999996</v>
      </c>
      <c r="G6" s="8">
        <f t="shared" si="0"/>
        <v>0</v>
      </c>
      <c r="I6" s="8">
        <v>4.5</v>
      </c>
      <c r="J6" s="8">
        <v>4.5999999999999996</v>
      </c>
      <c r="M6" t="s">
        <v>596</v>
      </c>
      <c r="N6">
        <v>2.3759183673469367E-2</v>
      </c>
      <c r="O6">
        <v>1.6391836734693844E-2</v>
      </c>
    </row>
    <row r="7" spans="1:15" x14ac:dyDescent="0.25">
      <c r="A7" t="s">
        <v>494</v>
      </c>
      <c r="B7" s="37" t="s">
        <v>603</v>
      </c>
      <c r="E7" s="10">
        <v>13.98</v>
      </c>
      <c r="F7" s="10">
        <v>4.5999999999999996</v>
      </c>
      <c r="G7" s="8">
        <f t="shared" si="0"/>
        <v>0</v>
      </c>
      <c r="I7" s="8">
        <v>4.8</v>
      </c>
      <c r="J7" s="8">
        <v>4.5999999999999996</v>
      </c>
      <c r="M7" t="s">
        <v>545</v>
      </c>
      <c r="N7">
        <v>50</v>
      </c>
      <c r="O7">
        <v>50</v>
      </c>
    </row>
    <row r="8" spans="1:15" x14ac:dyDescent="0.25">
      <c r="A8" s="15" t="s">
        <v>495</v>
      </c>
      <c r="B8" s="37"/>
      <c r="E8" s="8">
        <v>12.74</v>
      </c>
      <c r="F8" s="8">
        <v>4.5999999999999996</v>
      </c>
      <c r="G8" s="8">
        <f t="shared" si="0"/>
        <v>0</v>
      </c>
      <c r="I8" s="8">
        <v>4.4000000000000004</v>
      </c>
      <c r="J8" s="8">
        <v>4.4000000000000004</v>
      </c>
      <c r="M8" t="s">
        <v>597</v>
      </c>
      <c r="N8">
        <v>2.0075510204081607E-2</v>
      </c>
    </row>
    <row r="9" spans="1:15" x14ac:dyDescent="0.25">
      <c r="A9" t="s">
        <v>604</v>
      </c>
      <c r="B9" s="37"/>
      <c r="E9" s="10">
        <v>15.99</v>
      </c>
      <c r="F9" s="10">
        <v>4.5</v>
      </c>
      <c r="G9" s="8">
        <f t="shared" si="0"/>
        <v>1</v>
      </c>
      <c r="I9" s="8">
        <v>4.5</v>
      </c>
      <c r="J9" s="8">
        <v>4.5999999999999996</v>
      </c>
      <c r="M9" t="s">
        <v>598</v>
      </c>
      <c r="N9">
        <v>0</v>
      </c>
    </row>
    <row r="10" spans="1:15" x14ac:dyDescent="0.25">
      <c r="A10" t="s">
        <v>605</v>
      </c>
      <c r="B10" s="37"/>
      <c r="E10" s="8">
        <v>19.989999999999998</v>
      </c>
      <c r="F10" s="8">
        <v>4.5999999999999996</v>
      </c>
      <c r="G10" s="8">
        <f t="shared" si="0"/>
        <v>1</v>
      </c>
      <c r="I10" s="8">
        <v>4.7</v>
      </c>
      <c r="J10" s="8">
        <v>4.4000000000000004</v>
      </c>
      <c r="M10" t="s">
        <v>550</v>
      </c>
      <c r="N10">
        <v>98</v>
      </c>
    </row>
    <row r="11" spans="1:15" x14ac:dyDescent="0.25">
      <c r="E11" s="10">
        <v>33.99</v>
      </c>
      <c r="F11" s="10">
        <v>4.3</v>
      </c>
      <c r="G11" s="8">
        <f t="shared" si="0"/>
        <v>1</v>
      </c>
      <c r="I11" s="8">
        <v>4.5999999999999996</v>
      </c>
      <c r="J11" s="8">
        <v>4.5</v>
      </c>
      <c r="M11" t="s">
        <v>556</v>
      </c>
      <c r="N11">
        <v>-0.3528878523443531</v>
      </c>
    </row>
    <row r="12" spans="1:15" x14ac:dyDescent="0.25">
      <c r="A12" s="19" t="s">
        <v>606</v>
      </c>
      <c r="B12" s="19"/>
      <c r="E12" s="8">
        <v>14.99</v>
      </c>
      <c r="F12" s="8">
        <v>4.4000000000000004</v>
      </c>
      <c r="G12" s="8">
        <f t="shared" si="0"/>
        <v>0</v>
      </c>
      <c r="I12" s="8">
        <v>4.5999999999999996</v>
      </c>
      <c r="J12" s="8">
        <v>4.4000000000000004</v>
      </c>
      <c r="M12" t="s">
        <v>599</v>
      </c>
      <c r="N12">
        <v>0.36246520029544604</v>
      </c>
    </row>
    <row r="13" spans="1:15" x14ac:dyDescent="0.25">
      <c r="A13" s="7" t="s">
        <v>612</v>
      </c>
      <c r="B13" s="7"/>
      <c r="E13" s="10">
        <v>24.99</v>
      </c>
      <c r="F13" s="10">
        <v>4.5</v>
      </c>
      <c r="G13" s="8">
        <f t="shared" si="0"/>
        <v>1</v>
      </c>
      <c r="I13" s="8">
        <v>4.5999999999999996</v>
      </c>
      <c r="J13" s="8">
        <v>4.4000000000000004</v>
      </c>
      <c r="M13" t="s">
        <v>600</v>
      </c>
      <c r="N13">
        <v>1.6605512170657302</v>
      </c>
    </row>
    <row r="14" spans="1:15" x14ac:dyDescent="0.25">
      <c r="A14" s="9" t="s">
        <v>607</v>
      </c>
      <c r="B14" s="9"/>
      <c r="E14" s="8">
        <v>14.99</v>
      </c>
      <c r="F14" s="8">
        <v>4.5999999999999996</v>
      </c>
      <c r="G14" s="8">
        <f t="shared" si="0"/>
        <v>0</v>
      </c>
      <c r="I14" s="8">
        <v>4.7</v>
      </c>
      <c r="J14" s="8">
        <v>4.5</v>
      </c>
      <c r="M14" t="s">
        <v>601</v>
      </c>
      <c r="N14">
        <v>0.72493040059089209</v>
      </c>
    </row>
    <row r="15" spans="1:15" ht="15.75" thickBot="1" x14ac:dyDescent="0.3">
      <c r="E15" s="10">
        <v>12.42</v>
      </c>
      <c r="F15" s="10">
        <v>4.4000000000000004</v>
      </c>
      <c r="G15" s="8">
        <f t="shared" si="0"/>
        <v>0</v>
      </c>
      <c r="I15" s="8">
        <v>4.5</v>
      </c>
      <c r="J15" s="8">
        <v>4.5999999999999996</v>
      </c>
      <c r="M15" s="21" t="s">
        <v>602</v>
      </c>
      <c r="N15" s="21">
        <v>1.9844674545084788</v>
      </c>
      <c r="O15" s="21"/>
    </row>
    <row r="16" spans="1:15" x14ac:dyDescent="0.25">
      <c r="A16" s="19" t="s">
        <v>608</v>
      </c>
      <c r="B16" s="19"/>
      <c r="E16" s="8">
        <v>15.55</v>
      </c>
      <c r="F16" s="8">
        <v>4.5</v>
      </c>
      <c r="G16" s="8">
        <f t="shared" si="0"/>
        <v>0</v>
      </c>
      <c r="I16" s="8">
        <v>4.5</v>
      </c>
      <c r="J16" s="8">
        <v>4.5</v>
      </c>
    </row>
    <row r="17" spans="1:10" x14ac:dyDescent="0.25">
      <c r="A17" s="7" t="s">
        <v>609</v>
      </c>
      <c r="B17" s="7"/>
      <c r="E17" s="10">
        <v>14.99</v>
      </c>
      <c r="F17" s="10">
        <v>4.4000000000000004</v>
      </c>
      <c r="G17" s="8">
        <f t="shared" si="0"/>
        <v>0</v>
      </c>
      <c r="I17" s="8">
        <v>4.4000000000000004</v>
      </c>
      <c r="J17" s="8">
        <v>4.4000000000000004</v>
      </c>
    </row>
    <row r="18" spans="1:10" x14ac:dyDescent="0.25">
      <c r="A18" s="9" t="s">
        <v>613</v>
      </c>
      <c r="B18" s="9"/>
      <c r="E18" s="8">
        <v>13.99</v>
      </c>
      <c r="F18" s="8">
        <v>4.4000000000000004</v>
      </c>
      <c r="G18" s="8">
        <f t="shared" si="0"/>
        <v>0</v>
      </c>
      <c r="I18" s="8">
        <v>4.5</v>
      </c>
      <c r="J18" s="8">
        <v>4.4000000000000004</v>
      </c>
    </row>
    <row r="19" spans="1:10" x14ac:dyDescent="0.25">
      <c r="A19" s="7" t="s">
        <v>614</v>
      </c>
      <c r="B19" s="7"/>
      <c r="E19" s="10">
        <v>9.99</v>
      </c>
      <c r="F19" s="10">
        <v>4.5</v>
      </c>
      <c r="G19" s="8">
        <f t="shared" si="0"/>
        <v>0</v>
      </c>
      <c r="I19" s="8">
        <v>4.4000000000000004</v>
      </c>
      <c r="J19" s="8">
        <v>4.0999999999999996</v>
      </c>
    </row>
    <row r="20" spans="1:10" x14ac:dyDescent="0.25">
      <c r="A20" s="9" t="s">
        <v>610</v>
      </c>
      <c r="B20" s="9"/>
      <c r="E20" s="8">
        <v>41.73</v>
      </c>
      <c r="F20" s="8">
        <v>4.8</v>
      </c>
      <c r="G20" s="8">
        <f t="shared" si="0"/>
        <v>1</v>
      </c>
      <c r="I20" s="8">
        <v>4.4000000000000004</v>
      </c>
      <c r="J20" s="8">
        <v>4.3</v>
      </c>
    </row>
    <row r="21" spans="1:10" x14ac:dyDescent="0.25">
      <c r="A21" s="7" t="s">
        <v>611</v>
      </c>
      <c r="B21" s="7"/>
      <c r="E21" s="10">
        <v>22.95</v>
      </c>
      <c r="F21" s="10">
        <v>4.4000000000000004</v>
      </c>
      <c r="G21" s="8">
        <f t="shared" si="0"/>
        <v>1</v>
      </c>
      <c r="I21" s="8">
        <v>4.4000000000000004</v>
      </c>
      <c r="J21" s="8">
        <v>4.5</v>
      </c>
    </row>
    <row r="22" spans="1:10" x14ac:dyDescent="0.25">
      <c r="A22" s="9" t="s">
        <v>615</v>
      </c>
      <c r="B22" s="9"/>
      <c r="E22" s="8">
        <v>14.16</v>
      </c>
      <c r="F22" s="8">
        <v>4.5999999999999996</v>
      </c>
      <c r="G22" s="8">
        <f t="shared" si="0"/>
        <v>0</v>
      </c>
      <c r="I22" s="8">
        <v>4.4000000000000004</v>
      </c>
      <c r="J22" s="8">
        <v>4.4000000000000004</v>
      </c>
    </row>
    <row r="23" spans="1:10" x14ac:dyDescent="0.25">
      <c r="E23" s="10">
        <v>8.99</v>
      </c>
      <c r="F23" s="10">
        <v>4.5</v>
      </c>
      <c r="G23" s="8">
        <f t="shared" si="0"/>
        <v>0</v>
      </c>
      <c r="I23" s="8">
        <v>4.3</v>
      </c>
      <c r="J23" s="8">
        <v>4.5999999999999996</v>
      </c>
    </row>
    <row r="24" spans="1:10" x14ac:dyDescent="0.25">
      <c r="E24" s="8">
        <v>15.87</v>
      </c>
      <c r="F24" s="8">
        <v>4.4000000000000004</v>
      </c>
      <c r="G24" s="8">
        <f t="shared" si="0"/>
        <v>0</v>
      </c>
      <c r="I24" s="8">
        <v>4.5</v>
      </c>
      <c r="J24" s="8">
        <v>4.4000000000000004</v>
      </c>
    </row>
    <row r="25" spans="1:10" x14ac:dyDescent="0.25">
      <c r="E25" s="10">
        <v>35.99</v>
      </c>
      <c r="F25" s="10">
        <v>4.5</v>
      </c>
      <c r="G25" s="8">
        <f t="shared" si="0"/>
        <v>1</v>
      </c>
      <c r="I25" s="8">
        <v>4.3</v>
      </c>
      <c r="J25" s="8">
        <v>4.4000000000000004</v>
      </c>
    </row>
    <row r="26" spans="1:10" x14ac:dyDescent="0.25">
      <c r="E26" s="8">
        <v>9.99</v>
      </c>
      <c r="F26" s="8">
        <v>4.4000000000000004</v>
      </c>
      <c r="G26" s="8">
        <f t="shared" si="0"/>
        <v>0</v>
      </c>
      <c r="I26" s="8">
        <v>4.2</v>
      </c>
      <c r="J26" s="8">
        <v>4.5</v>
      </c>
    </row>
    <row r="27" spans="1:10" x14ac:dyDescent="0.25">
      <c r="E27" s="10">
        <v>41.16</v>
      </c>
      <c r="F27" s="10">
        <v>4.7</v>
      </c>
      <c r="G27" s="8">
        <f t="shared" si="0"/>
        <v>1</v>
      </c>
      <c r="I27" s="8">
        <v>4.5</v>
      </c>
      <c r="J27" s="8">
        <v>4.3</v>
      </c>
    </row>
    <row r="28" spans="1:10" x14ac:dyDescent="0.25">
      <c r="E28" s="8">
        <v>11.57</v>
      </c>
      <c r="F28" s="8">
        <v>4.0999999999999996</v>
      </c>
      <c r="G28" s="8">
        <f t="shared" si="0"/>
        <v>0</v>
      </c>
      <c r="I28" s="8">
        <v>4.5</v>
      </c>
      <c r="J28" s="8">
        <v>4.2</v>
      </c>
    </row>
    <row r="29" spans="1:10" x14ac:dyDescent="0.25">
      <c r="E29" s="10">
        <v>14.99</v>
      </c>
      <c r="F29" s="10">
        <v>4.3</v>
      </c>
      <c r="G29" s="8">
        <f t="shared" si="0"/>
        <v>0</v>
      </c>
      <c r="I29" s="8">
        <v>4.3</v>
      </c>
      <c r="J29" s="8">
        <v>4.3</v>
      </c>
    </row>
    <row r="30" spans="1:10" x14ac:dyDescent="0.25">
      <c r="E30" s="8">
        <v>9.99</v>
      </c>
      <c r="F30" s="8">
        <v>4.5</v>
      </c>
      <c r="G30" s="8">
        <f t="shared" si="0"/>
        <v>0</v>
      </c>
      <c r="I30" s="8">
        <v>4.5</v>
      </c>
      <c r="J30" s="8">
        <v>4.5</v>
      </c>
    </row>
    <row r="31" spans="1:10" x14ac:dyDescent="0.25">
      <c r="E31" s="10">
        <v>17.989999999999998</v>
      </c>
      <c r="F31" s="10">
        <v>4.5999999999999996</v>
      </c>
      <c r="G31" s="8">
        <f t="shared" si="0"/>
        <v>1</v>
      </c>
      <c r="I31" s="8">
        <v>4.5</v>
      </c>
      <c r="J31" s="8">
        <v>4.5999999999999996</v>
      </c>
    </row>
    <row r="32" spans="1:10" x14ac:dyDescent="0.25">
      <c r="E32" s="8">
        <v>25</v>
      </c>
      <c r="F32" s="8">
        <v>4.5999999999999996</v>
      </c>
      <c r="G32" s="8">
        <f t="shared" si="0"/>
        <v>1</v>
      </c>
      <c r="I32" s="8">
        <v>4.3</v>
      </c>
      <c r="J32" s="8">
        <v>4.5999999999999996</v>
      </c>
    </row>
    <row r="33" spans="5:10" x14ac:dyDescent="0.25">
      <c r="E33" s="10">
        <v>9.99</v>
      </c>
      <c r="F33" s="10">
        <v>4.4000000000000004</v>
      </c>
      <c r="G33" s="8">
        <f t="shared" si="0"/>
        <v>0</v>
      </c>
      <c r="I33" s="8">
        <v>4.2</v>
      </c>
      <c r="J33" s="8">
        <v>4.5999999999999996</v>
      </c>
    </row>
    <row r="34" spans="5:10" x14ac:dyDescent="0.25">
      <c r="E34" s="8">
        <v>3.99</v>
      </c>
      <c r="F34" s="8">
        <v>4.5999999999999996</v>
      </c>
      <c r="G34" s="8">
        <f t="shared" si="0"/>
        <v>0</v>
      </c>
      <c r="I34" s="8">
        <v>4.5</v>
      </c>
      <c r="J34" s="8">
        <v>4.5999999999999996</v>
      </c>
    </row>
    <row r="35" spans="5:10" x14ac:dyDescent="0.25">
      <c r="E35" s="10">
        <v>25.99</v>
      </c>
      <c r="F35" s="10">
        <v>4.5999999999999996</v>
      </c>
      <c r="G35" s="8">
        <f t="shared" si="0"/>
        <v>1</v>
      </c>
      <c r="I35" s="8">
        <v>4.3</v>
      </c>
      <c r="J35" s="8">
        <v>4.5</v>
      </c>
    </row>
    <row r="36" spans="5:10" x14ac:dyDescent="0.25">
      <c r="E36" s="8">
        <v>49.1</v>
      </c>
      <c r="F36" s="8">
        <v>4.7</v>
      </c>
      <c r="G36" s="8">
        <f t="shared" si="0"/>
        <v>1</v>
      </c>
      <c r="I36" s="8">
        <v>4.5999999999999996</v>
      </c>
      <c r="J36" s="8">
        <v>4.3</v>
      </c>
    </row>
    <row r="37" spans="5:10" x14ac:dyDescent="0.25">
      <c r="E37" s="10">
        <v>19.989999999999998</v>
      </c>
      <c r="F37" s="10">
        <v>4.5</v>
      </c>
      <c r="G37" s="8">
        <f t="shared" si="0"/>
        <v>1</v>
      </c>
      <c r="I37" s="8">
        <v>4.5</v>
      </c>
      <c r="J37" s="8">
        <v>4.4000000000000004</v>
      </c>
    </row>
    <row r="38" spans="5:10" x14ac:dyDescent="0.25">
      <c r="E38" s="8">
        <v>26.99</v>
      </c>
      <c r="F38" s="8">
        <v>4.5</v>
      </c>
      <c r="G38" s="8">
        <f t="shared" si="0"/>
        <v>1</v>
      </c>
      <c r="I38" s="8">
        <v>4.3</v>
      </c>
      <c r="J38" s="8">
        <v>4.7</v>
      </c>
    </row>
    <row r="39" spans="5:10" x14ac:dyDescent="0.25">
      <c r="E39" s="10">
        <v>21.99</v>
      </c>
      <c r="F39" s="10">
        <v>4.4000000000000004</v>
      </c>
      <c r="G39" s="8">
        <f t="shared" si="0"/>
        <v>1</v>
      </c>
      <c r="I39" s="8">
        <v>4.5</v>
      </c>
      <c r="J39" s="8">
        <v>4.5</v>
      </c>
    </row>
    <row r="40" spans="5:10" x14ac:dyDescent="0.25">
      <c r="E40" s="8">
        <v>19.989999999999998</v>
      </c>
      <c r="F40" s="8">
        <v>4.5</v>
      </c>
      <c r="G40" s="8">
        <f t="shared" si="0"/>
        <v>1</v>
      </c>
      <c r="I40" s="8">
        <v>4.5</v>
      </c>
      <c r="J40" s="8">
        <v>4.3</v>
      </c>
    </row>
    <row r="41" spans="5:10" x14ac:dyDescent="0.25">
      <c r="E41" s="10">
        <v>15.99</v>
      </c>
      <c r="F41" s="10">
        <v>4.4000000000000004</v>
      </c>
      <c r="G41" s="8">
        <f t="shared" si="0"/>
        <v>1</v>
      </c>
      <c r="I41" s="8">
        <v>4.3</v>
      </c>
      <c r="J41" s="8">
        <v>4.5999999999999996</v>
      </c>
    </row>
    <row r="42" spans="5:10" x14ac:dyDescent="0.25">
      <c r="E42" s="8">
        <v>33.99</v>
      </c>
      <c r="F42" s="8">
        <v>4.4000000000000004</v>
      </c>
      <c r="G42" s="8">
        <f t="shared" si="0"/>
        <v>1</v>
      </c>
      <c r="I42" s="8">
        <v>4.5999999999999996</v>
      </c>
      <c r="J42" s="8">
        <v>4.5</v>
      </c>
    </row>
    <row r="43" spans="5:10" x14ac:dyDescent="0.25">
      <c r="E43" s="10">
        <v>26.99</v>
      </c>
      <c r="F43" s="10">
        <v>4.4000000000000004</v>
      </c>
      <c r="G43" s="8">
        <f t="shared" si="0"/>
        <v>1</v>
      </c>
      <c r="I43" s="8">
        <v>4.4000000000000004</v>
      </c>
      <c r="J43" s="8">
        <v>4.4000000000000004</v>
      </c>
    </row>
    <row r="44" spans="5:10" x14ac:dyDescent="0.25">
      <c r="E44" s="8">
        <v>21.99</v>
      </c>
      <c r="F44" s="8">
        <v>4.4000000000000004</v>
      </c>
      <c r="G44" s="8">
        <f t="shared" si="0"/>
        <v>1</v>
      </c>
      <c r="I44" s="8">
        <v>4.5</v>
      </c>
      <c r="J44" s="8">
        <v>4.4000000000000004</v>
      </c>
    </row>
    <row r="45" spans="5:10" x14ac:dyDescent="0.25">
      <c r="E45" s="10">
        <v>14.99</v>
      </c>
      <c r="F45" s="10">
        <v>4.4000000000000004</v>
      </c>
      <c r="G45" s="8">
        <f t="shared" si="0"/>
        <v>0</v>
      </c>
      <c r="I45" s="8">
        <v>4.5999999999999996</v>
      </c>
      <c r="J45" s="8">
        <v>4.4000000000000004</v>
      </c>
    </row>
    <row r="46" spans="5:10" x14ac:dyDescent="0.25">
      <c r="E46" s="8">
        <v>14.97</v>
      </c>
      <c r="F46" s="8">
        <v>4.4000000000000004</v>
      </c>
      <c r="G46" s="8">
        <f t="shared" si="0"/>
        <v>0</v>
      </c>
      <c r="I46" s="8">
        <v>4.4000000000000004</v>
      </c>
      <c r="J46" s="8">
        <v>4.5</v>
      </c>
    </row>
    <row r="47" spans="5:10" x14ac:dyDescent="0.25">
      <c r="E47" s="10">
        <v>7.0000000000000001E-3</v>
      </c>
      <c r="F47" s="10">
        <v>4.5</v>
      </c>
      <c r="G47" s="8">
        <f t="shared" si="0"/>
        <v>0</v>
      </c>
      <c r="I47" s="8">
        <v>4.4000000000000004</v>
      </c>
      <c r="J47" s="8">
        <v>4.3</v>
      </c>
    </row>
    <row r="48" spans="5:10" x14ac:dyDescent="0.25">
      <c r="E48" s="8">
        <v>15.99</v>
      </c>
      <c r="F48" s="8">
        <v>4.3</v>
      </c>
      <c r="G48" s="8">
        <f t="shared" si="0"/>
        <v>1</v>
      </c>
      <c r="I48" s="8">
        <v>4.2</v>
      </c>
      <c r="J48" s="8">
        <v>4.5</v>
      </c>
    </row>
    <row r="49" spans="5:10" x14ac:dyDescent="0.25">
      <c r="E49" s="10">
        <v>19.989999999999998</v>
      </c>
      <c r="F49" s="10">
        <v>4.5</v>
      </c>
      <c r="G49" s="8">
        <f t="shared" si="0"/>
        <v>1</v>
      </c>
      <c r="I49" s="8">
        <v>4</v>
      </c>
      <c r="J49" s="8">
        <v>4.2</v>
      </c>
    </row>
    <row r="50" spans="5:10" x14ac:dyDescent="0.25">
      <c r="E50" s="8">
        <v>15.98</v>
      </c>
      <c r="F50" s="8">
        <v>4.3</v>
      </c>
      <c r="G50" s="8">
        <f t="shared" si="0"/>
        <v>0</v>
      </c>
      <c r="I50" s="8">
        <v>4.7</v>
      </c>
      <c r="J50" s="8">
        <v>4.4000000000000004</v>
      </c>
    </row>
    <row r="51" spans="5:10" x14ac:dyDescent="0.25">
      <c r="E51" s="10">
        <v>24.99</v>
      </c>
      <c r="F51" s="10">
        <v>4.3</v>
      </c>
      <c r="G51" s="8">
        <f t="shared" si="0"/>
        <v>1</v>
      </c>
      <c r="I51" s="8">
        <v>4.4000000000000004</v>
      </c>
      <c r="J51" s="8">
        <v>4.5999999999999996</v>
      </c>
    </row>
    <row r="52" spans="5:10" x14ac:dyDescent="0.25">
      <c r="E52" s="8">
        <v>12.09</v>
      </c>
      <c r="F52" s="8">
        <v>4.2</v>
      </c>
      <c r="G52" s="8">
        <f t="shared" si="0"/>
        <v>0</v>
      </c>
    </row>
    <row r="53" spans="5:10" x14ac:dyDescent="0.25">
      <c r="E53" s="10">
        <v>14.48</v>
      </c>
      <c r="F53" s="10">
        <v>4.3</v>
      </c>
      <c r="G53" s="8">
        <f t="shared" si="0"/>
        <v>0</v>
      </c>
    </row>
    <row r="54" spans="5:10" x14ac:dyDescent="0.25">
      <c r="E54" s="8">
        <v>29.99</v>
      </c>
      <c r="F54" s="8">
        <v>4.2</v>
      </c>
      <c r="G54" s="8">
        <f t="shared" si="0"/>
        <v>1</v>
      </c>
    </row>
    <row r="55" spans="5:10" x14ac:dyDescent="0.25">
      <c r="E55" s="10">
        <v>14.99</v>
      </c>
      <c r="F55" s="10">
        <v>4.5</v>
      </c>
      <c r="G55" s="8">
        <f t="shared" si="0"/>
        <v>0</v>
      </c>
    </row>
    <row r="56" spans="5:10" x14ac:dyDescent="0.25">
      <c r="E56" s="8">
        <v>37.229999999999997</v>
      </c>
      <c r="F56" s="8">
        <v>4.5</v>
      </c>
      <c r="G56" s="8">
        <f t="shared" si="0"/>
        <v>1</v>
      </c>
    </row>
    <row r="57" spans="5:10" x14ac:dyDescent="0.25">
      <c r="E57" s="10">
        <v>14.99</v>
      </c>
      <c r="F57" s="10">
        <v>4.5999999999999996</v>
      </c>
      <c r="G57" s="8">
        <f t="shared" si="0"/>
        <v>0</v>
      </c>
    </row>
    <row r="58" spans="5:10" x14ac:dyDescent="0.25">
      <c r="E58" s="8">
        <v>14.97</v>
      </c>
      <c r="F58" s="8">
        <v>4.5999999999999996</v>
      </c>
      <c r="G58" s="8">
        <f t="shared" si="0"/>
        <v>0</v>
      </c>
    </row>
    <row r="59" spans="5:10" x14ac:dyDescent="0.25">
      <c r="E59" s="10">
        <v>16.8</v>
      </c>
      <c r="F59" s="10">
        <v>4.5</v>
      </c>
      <c r="G59" s="8">
        <f t="shared" si="0"/>
        <v>1</v>
      </c>
    </row>
    <row r="60" spans="5:10" x14ac:dyDescent="0.25">
      <c r="E60" s="8">
        <v>27.99</v>
      </c>
      <c r="F60" s="8">
        <v>4.3</v>
      </c>
      <c r="G60" s="8">
        <f t="shared" si="0"/>
        <v>1</v>
      </c>
    </row>
    <row r="61" spans="5:10" x14ac:dyDescent="0.25">
      <c r="E61" s="10">
        <v>7.0000000000000001E-3</v>
      </c>
      <c r="F61" s="10">
        <v>4.5999999999999996</v>
      </c>
      <c r="G61" s="8">
        <f t="shared" si="0"/>
        <v>0</v>
      </c>
    </row>
    <row r="62" spans="5:10" x14ac:dyDescent="0.25">
      <c r="E62" s="8">
        <v>13.97</v>
      </c>
      <c r="F62" s="8">
        <v>4.5999999999999996</v>
      </c>
      <c r="G62" s="8">
        <f t="shared" si="0"/>
        <v>0</v>
      </c>
    </row>
    <row r="63" spans="5:10" x14ac:dyDescent="0.25">
      <c r="E63" s="10">
        <v>25.99</v>
      </c>
      <c r="F63" s="10">
        <v>4.5</v>
      </c>
      <c r="G63" s="8">
        <f t="shared" si="0"/>
        <v>1</v>
      </c>
    </row>
    <row r="64" spans="5:10" x14ac:dyDescent="0.25">
      <c r="E64" s="8">
        <v>7.0000000000000001E-3</v>
      </c>
      <c r="F64" s="8">
        <v>4.5</v>
      </c>
      <c r="G64" s="8">
        <f t="shared" si="0"/>
        <v>0</v>
      </c>
    </row>
    <row r="65" spans="5:7" x14ac:dyDescent="0.25">
      <c r="E65" s="10">
        <v>16.98</v>
      </c>
      <c r="F65" s="10">
        <v>4.5</v>
      </c>
      <c r="G65" s="8">
        <f t="shared" si="0"/>
        <v>1</v>
      </c>
    </row>
    <row r="66" spans="5:7" x14ac:dyDescent="0.25">
      <c r="E66" s="8">
        <v>13.99</v>
      </c>
      <c r="F66" s="8">
        <v>4.3</v>
      </c>
      <c r="G66" s="8">
        <f t="shared" si="0"/>
        <v>0</v>
      </c>
    </row>
    <row r="67" spans="5:7" x14ac:dyDescent="0.25">
      <c r="E67" s="10">
        <v>10.99</v>
      </c>
      <c r="F67" s="10">
        <v>4.4000000000000004</v>
      </c>
      <c r="G67" s="8">
        <f t="shared" ref="G67:G101" si="1">IF(E67&gt;=$B$2,1,0)</f>
        <v>0</v>
      </c>
    </row>
    <row r="68" spans="5:7" x14ac:dyDescent="0.25">
      <c r="E68" s="8">
        <v>16.989999999999998</v>
      </c>
      <c r="F68" s="8">
        <v>4.3</v>
      </c>
      <c r="G68" s="8">
        <f t="shared" si="1"/>
        <v>1</v>
      </c>
    </row>
    <row r="69" spans="5:7" x14ac:dyDescent="0.25">
      <c r="E69" s="10">
        <v>18.989999999999998</v>
      </c>
      <c r="F69" s="10">
        <v>4.2</v>
      </c>
      <c r="G69" s="8">
        <f t="shared" si="1"/>
        <v>1</v>
      </c>
    </row>
    <row r="70" spans="5:7" x14ac:dyDescent="0.25">
      <c r="E70" s="8">
        <v>18.989999999999998</v>
      </c>
      <c r="F70" s="8">
        <v>4.5</v>
      </c>
      <c r="G70" s="8">
        <f t="shared" si="1"/>
        <v>1</v>
      </c>
    </row>
    <row r="71" spans="5:7" x14ac:dyDescent="0.25">
      <c r="E71" s="10">
        <v>14.99</v>
      </c>
      <c r="F71" s="10">
        <v>4.7</v>
      </c>
      <c r="G71" s="8">
        <f t="shared" si="1"/>
        <v>0</v>
      </c>
    </row>
    <row r="72" spans="5:7" x14ac:dyDescent="0.25">
      <c r="E72" s="8">
        <v>78</v>
      </c>
      <c r="F72" s="8">
        <v>4.3</v>
      </c>
      <c r="G72" s="8">
        <f t="shared" si="1"/>
        <v>1</v>
      </c>
    </row>
    <row r="73" spans="5:7" x14ac:dyDescent="0.25">
      <c r="E73" s="10">
        <v>8.5</v>
      </c>
      <c r="F73" s="10">
        <v>4.5</v>
      </c>
      <c r="G73" s="8">
        <f t="shared" si="1"/>
        <v>0</v>
      </c>
    </row>
    <row r="74" spans="5:7" x14ac:dyDescent="0.25">
      <c r="E74" s="8">
        <v>12.99</v>
      </c>
      <c r="F74" s="8">
        <v>4.3</v>
      </c>
      <c r="G74" s="8">
        <f t="shared" si="1"/>
        <v>0</v>
      </c>
    </row>
    <row r="75" spans="5:7" x14ac:dyDescent="0.25">
      <c r="E75" s="10">
        <v>7.0000000000000001E-3</v>
      </c>
      <c r="F75" s="10">
        <v>4.5999999999999996</v>
      </c>
      <c r="G75" s="8">
        <f t="shared" si="1"/>
        <v>0</v>
      </c>
    </row>
    <row r="76" spans="5:7" x14ac:dyDescent="0.25">
      <c r="E76" s="8">
        <v>40</v>
      </c>
      <c r="F76" s="8">
        <v>4.5999999999999996</v>
      </c>
      <c r="G76" s="8">
        <f t="shared" si="1"/>
        <v>1</v>
      </c>
    </row>
    <row r="77" spans="5:7" x14ac:dyDescent="0.25">
      <c r="E77" s="10">
        <v>16.989999999999998</v>
      </c>
      <c r="F77" s="10">
        <v>4.5</v>
      </c>
      <c r="G77" s="8">
        <f t="shared" si="1"/>
        <v>1</v>
      </c>
    </row>
    <row r="78" spans="5:7" x14ac:dyDescent="0.25">
      <c r="E78" s="8">
        <v>23.81</v>
      </c>
      <c r="F78" s="8">
        <v>4.3</v>
      </c>
      <c r="G78" s="8">
        <f t="shared" si="1"/>
        <v>1</v>
      </c>
    </row>
    <row r="79" spans="5:7" x14ac:dyDescent="0.25">
      <c r="E79" s="10">
        <v>28.2</v>
      </c>
      <c r="F79" s="10">
        <v>4.5</v>
      </c>
      <c r="G79" s="8">
        <f t="shared" si="1"/>
        <v>1</v>
      </c>
    </row>
    <row r="80" spans="5:7" x14ac:dyDescent="0.25">
      <c r="E80" s="8">
        <v>21.95</v>
      </c>
      <c r="F80" s="8">
        <v>4.5</v>
      </c>
      <c r="G80" s="8">
        <f t="shared" si="1"/>
        <v>1</v>
      </c>
    </row>
    <row r="81" spans="5:7" x14ac:dyDescent="0.25">
      <c r="E81" s="10">
        <v>11.97</v>
      </c>
      <c r="F81" s="10">
        <v>4.5</v>
      </c>
      <c r="G81" s="8">
        <f t="shared" si="1"/>
        <v>0</v>
      </c>
    </row>
    <row r="82" spans="5:7" x14ac:dyDescent="0.25">
      <c r="E82" s="8">
        <v>14.98</v>
      </c>
      <c r="F82" s="8">
        <v>4.4000000000000004</v>
      </c>
      <c r="G82" s="8">
        <f t="shared" si="1"/>
        <v>0</v>
      </c>
    </row>
    <row r="83" spans="5:7" x14ac:dyDescent="0.25">
      <c r="E83" s="10">
        <v>22.99</v>
      </c>
      <c r="F83" s="10">
        <v>4.3</v>
      </c>
      <c r="G83" s="8">
        <f t="shared" si="1"/>
        <v>1</v>
      </c>
    </row>
    <row r="84" spans="5:7" x14ac:dyDescent="0.25">
      <c r="E84" s="8">
        <v>7.0000000000000001E-3</v>
      </c>
      <c r="F84" s="8">
        <v>4.4000000000000004</v>
      </c>
      <c r="G84" s="8">
        <f t="shared" si="1"/>
        <v>0</v>
      </c>
    </row>
    <row r="85" spans="5:7" x14ac:dyDescent="0.25">
      <c r="E85" s="10">
        <v>13.99</v>
      </c>
      <c r="F85" s="10">
        <v>4.4000000000000004</v>
      </c>
      <c r="G85" s="8">
        <f t="shared" si="1"/>
        <v>0</v>
      </c>
    </row>
    <row r="86" spans="5:7" x14ac:dyDescent="0.25">
      <c r="E86" s="8">
        <v>195</v>
      </c>
      <c r="F86" s="8">
        <v>4.5999999999999996</v>
      </c>
      <c r="G86" s="8">
        <f t="shared" si="1"/>
        <v>1</v>
      </c>
    </row>
    <row r="87" spans="5:7" x14ac:dyDescent="0.25">
      <c r="E87" s="10">
        <v>35</v>
      </c>
      <c r="F87" s="10">
        <v>4.4000000000000004</v>
      </c>
      <c r="G87" s="8">
        <f t="shared" si="1"/>
        <v>1</v>
      </c>
    </row>
    <row r="88" spans="5:7" x14ac:dyDescent="0.25">
      <c r="E88" s="8">
        <v>7.0000000000000001E-3</v>
      </c>
      <c r="F88" s="8">
        <v>4.5</v>
      </c>
      <c r="G88" s="8">
        <f t="shared" si="1"/>
        <v>0</v>
      </c>
    </row>
    <row r="89" spans="5:7" x14ac:dyDescent="0.25">
      <c r="E89" s="10">
        <v>13.98</v>
      </c>
      <c r="F89" s="10">
        <v>4.3</v>
      </c>
      <c r="G89" s="8">
        <f t="shared" si="1"/>
        <v>0</v>
      </c>
    </row>
    <row r="90" spans="5:7" x14ac:dyDescent="0.25">
      <c r="E90" s="8">
        <v>19.989999999999998</v>
      </c>
      <c r="F90" s="8">
        <v>4.5</v>
      </c>
      <c r="G90" s="8">
        <f t="shared" si="1"/>
        <v>1</v>
      </c>
    </row>
    <row r="91" spans="5:7" x14ac:dyDescent="0.25">
      <c r="E91" s="10">
        <v>48</v>
      </c>
      <c r="F91" s="10">
        <v>4.5999999999999996</v>
      </c>
      <c r="G91" s="8">
        <f t="shared" si="1"/>
        <v>1</v>
      </c>
    </row>
    <row r="92" spans="5:7" x14ac:dyDescent="0.25">
      <c r="E92" s="8">
        <v>7.0000000000000001E-3</v>
      </c>
      <c r="F92" s="8">
        <v>4.5</v>
      </c>
      <c r="G92" s="8">
        <f t="shared" si="1"/>
        <v>0</v>
      </c>
    </row>
    <row r="93" spans="5:7" x14ac:dyDescent="0.25">
      <c r="E93" s="10">
        <v>23.99</v>
      </c>
      <c r="F93" s="10">
        <v>4.4000000000000004</v>
      </c>
      <c r="G93" s="8">
        <f t="shared" si="1"/>
        <v>1</v>
      </c>
    </row>
    <row r="94" spans="5:7" x14ac:dyDescent="0.25">
      <c r="E94" s="8">
        <v>21.98</v>
      </c>
      <c r="F94" s="8">
        <v>4.4000000000000004</v>
      </c>
      <c r="G94" s="8">
        <f t="shared" si="1"/>
        <v>1</v>
      </c>
    </row>
    <row r="95" spans="5:7" x14ac:dyDescent="0.25">
      <c r="E95" s="10">
        <v>17.989999999999998</v>
      </c>
      <c r="F95" s="10">
        <v>4.2</v>
      </c>
      <c r="G95" s="8">
        <f t="shared" si="1"/>
        <v>1</v>
      </c>
    </row>
    <row r="96" spans="5:7" x14ac:dyDescent="0.25">
      <c r="E96" s="8">
        <v>16.989999999999998</v>
      </c>
      <c r="F96" s="8">
        <v>4</v>
      </c>
      <c r="G96" s="8">
        <f t="shared" si="1"/>
        <v>1</v>
      </c>
    </row>
    <row r="97" spans="5:7" x14ac:dyDescent="0.25">
      <c r="E97" s="10">
        <v>93</v>
      </c>
      <c r="F97" s="10">
        <v>4.7</v>
      </c>
      <c r="G97" s="8">
        <f t="shared" si="1"/>
        <v>1</v>
      </c>
    </row>
    <row r="98" spans="5:7" x14ac:dyDescent="0.25">
      <c r="E98" s="8">
        <v>25.95</v>
      </c>
      <c r="F98" s="8">
        <v>4.4000000000000004</v>
      </c>
      <c r="G98" s="8">
        <f t="shared" si="1"/>
        <v>1</v>
      </c>
    </row>
    <row r="99" spans="5:7" x14ac:dyDescent="0.25">
      <c r="E99" s="10">
        <v>9.89</v>
      </c>
      <c r="F99" s="10">
        <v>4.2</v>
      </c>
      <c r="G99" s="8">
        <f t="shared" si="1"/>
        <v>0</v>
      </c>
    </row>
    <row r="100" spans="5:7" x14ac:dyDescent="0.25">
      <c r="E100" s="8">
        <v>13.97</v>
      </c>
      <c r="F100" s="8">
        <v>4.4000000000000004</v>
      </c>
      <c r="G100" s="8">
        <f t="shared" si="1"/>
        <v>0</v>
      </c>
    </row>
    <row r="101" spans="5:7" x14ac:dyDescent="0.25">
      <c r="E101" s="18">
        <v>7.0000000000000001E-3</v>
      </c>
      <c r="F101" s="18">
        <v>4.5999999999999996</v>
      </c>
      <c r="G101" s="8">
        <f t="shared" si="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5"/>
  <sheetViews>
    <sheetView workbookViewId="0"/>
  </sheetViews>
  <sheetFormatPr defaultColWidth="8.85546875" defaultRowHeight="15" x14ac:dyDescent="0.25"/>
  <cols>
    <col min="1" max="1" width="114.85546875" bestFit="1" customWidth="1"/>
  </cols>
  <sheetData>
    <row r="1" spans="1:1" ht="23.25" x14ac:dyDescent="0.35">
      <c r="A1" s="4" t="s">
        <v>496</v>
      </c>
    </row>
    <row r="3" spans="1:1" ht="18.75" x14ac:dyDescent="0.3">
      <c r="A3" s="1" t="s">
        <v>497</v>
      </c>
    </row>
    <row r="4" spans="1:1" ht="18.75" x14ac:dyDescent="0.3">
      <c r="A4" s="1" t="s">
        <v>498</v>
      </c>
    </row>
    <row r="6" spans="1:1" ht="18.75" x14ac:dyDescent="0.3">
      <c r="A6" s="1" t="s">
        <v>499</v>
      </c>
    </row>
    <row r="7" spans="1:1" ht="18.75" x14ac:dyDescent="0.3">
      <c r="A7" s="2" t="s">
        <v>500</v>
      </c>
    </row>
    <row r="8" spans="1:1" ht="18.75" x14ac:dyDescent="0.3">
      <c r="A8" s="2" t="s">
        <v>501</v>
      </c>
    </row>
    <row r="9" spans="1:1" ht="18.75" x14ac:dyDescent="0.3">
      <c r="A9" s="2" t="s">
        <v>502</v>
      </c>
    </row>
    <row r="11" spans="1:1" ht="18.75" x14ac:dyDescent="0.3">
      <c r="A11" s="1" t="s">
        <v>503</v>
      </c>
    </row>
    <row r="12" spans="1:1" ht="18.75" x14ac:dyDescent="0.3">
      <c r="A12" s="2" t="s">
        <v>504</v>
      </c>
    </row>
    <row r="13" spans="1:1" ht="18.75" x14ac:dyDescent="0.3">
      <c r="A13" s="2"/>
    </row>
    <row r="14" spans="1:1" ht="18.75" x14ac:dyDescent="0.3">
      <c r="A14" s="1" t="s">
        <v>505</v>
      </c>
    </row>
    <row r="15" spans="1:1" ht="18.75" x14ac:dyDescent="0.3">
      <c r="A15" s="2" t="s">
        <v>506</v>
      </c>
    </row>
    <row r="16" spans="1:1" ht="18.75" x14ac:dyDescent="0.3">
      <c r="A16" s="2" t="s">
        <v>507</v>
      </c>
    </row>
    <row r="18" spans="1:1" ht="18.75" x14ac:dyDescent="0.3">
      <c r="A18" s="1" t="s">
        <v>508</v>
      </c>
    </row>
    <row r="19" spans="1:1" ht="18.75" x14ac:dyDescent="0.3">
      <c r="A19" s="2" t="s">
        <v>509</v>
      </c>
    </row>
    <row r="20" spans="1:1" ht="18.75" x14ac:dyDescent="0.3">
      <c r="A20" s="2" t="s">
        <v>510</v>
      </c>
    </row>
    <row r="21" spans="1:1" ht="18.75" x14ac:dyDescent="0.3">
      <c r="A21" s="2" t="s">
        <v>511</v>
      </c>
    </row>
    <row r="23" spans="1:1" ht="18.75" x14ac:dyDescent="0.3">
      <c r="A23" s="1" t="s">
        <v>512</v>
      </c>
    </row>
    <row r="25" spans="1:1" ht="18.75" x14ac:dyDescent="0.3">
      <c r="A25" s="1" t="s">
        <v>513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9"/>
  <sheetViews>
    <sheetView workbookViewId="0">
      <selection activeCell="A8" sqref="A8:B8"/>
    </sheetView>
  </sheetViews>
  <sheetFormatPr defaultColWidth="8.85546875" defaultRowHeight="15" x14ac:dyDescent="0.25"/>
  <cols>
    <col min="1" max="1" width="47.7109375" customWidth="1"/>
    <col min="2" max="2" width="149.7109375" customWidth="1"/>
    <col min="3" max="3" width="9.28515625" bestFit="1" customWidth="1"/>
  </cols>
  <sheetData>
    <row r="1" spans="1:3" ht="23.25" x14ac:dyDescent="0.35">
      <c r="A1" s="5" t="s">
        <v>514</v>
      </c>
      <c r="B1" s="5" t="s">
        <v>515</v>
      </c>
      <c r="C1" s="5" t="s">
        <v>516</v>
      </c>
    </row>
    <row r="2" spans="1:3" ht="18.75" x14ac:dyDescent="0.3">
      <c r="A2" s="29" t="s">
        <v>517</v>
      </c>
      <c r="B2" s="29" t="s">
        <v>518</v>
      </c>
      <c r="C2" s="2">
        <v>8</v>
      </c>
    </row>
    <row r="3" spans="1:3" ht="18.75" x14ac:dyDescent="0.3">
      <c r="A3" s="29" t="s">
        <v>519</v>
      </c>
      <c r="B3" s="29" t="s">
        <v>520</v>
      </c>
      <c r="C3" s="2">
        <v>8</v>
      </c>
    </row>
    <row r="4" spans="1:3" ht="18.75" x14ac:dyDescent="0.3">
      <c r="A4" s="29" t="s">
        <v>521</v>
      </c>
      <c r="B4" s="29" t="s">
        <v>522</v>
      </c>
      <c r="C4" s="2">
        <v>4</v>
      </c>
    </row>
    <row r="5" spans="1:3" ht="18.75" x14ac:dyDescent="0.3">
      <c r="A5" s="29" t="s">
        <v>523</v>
      </c>
      <c r="B5" s="29" t="s">
        <v>524</v>
      </c>
      <c r="C5" s="2">
        <v>4</v>
      </c>
    </row>
    <row r="6" spans="1:3" ht="18.75" x14ac:dyDescent="0.3">
      <c r="A6" s="29" t="s">
        <v>525</v>
      </c>
      <c r="B6" s="29" t="s">
        <v>526</v>
      </c>
      <c r="C6" s="2">
        <v>8</v>
      </c>
    </row>
    <row r="7" spans="1:3" ht="18.75" x14ac:dyDescent="0.3">
      <c r="A7" s="29" t="s">
        <v>527</v>
      </c>
      <c r="B7" s="29" t="s">
        <v>528</v>
      </c>
      <c r="C7" s="2">
        <v>6</v>
      </c>
    </row>
    <row r="8" spans="1:3" ht="18.75" x14ac:dyDescent="0.3">
      <c r="A8" s="29" t="s">
        <v>529</v>
      </c>
      <c r="B8" s="29" t="s">
        <v>530</v>
      </c>
      <c r="C8" s="2">
        <v>2</v>
      </c>
    </row>
    <row r="9" spans="1:3" ht="18.75" x14ac:dyDescent="0.3">
      <c r="A9" s="2"/>
      <c r="B9" s="3" t="s">
        <v>531</v>
      </c>
      <c r="C9" s="3">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Data_Clean</vt:lpstr>
      <vt:lpstr>Summary</vt:lpstr>
      <vt:lpstr>Regression</vt:lpstr>
      <vt:lpstr>Hypothesis</vt:lpstr>
      <vt:lpstr>Instructions</vt:lpstr>
      <vt:lpstr>Grading_Rubric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Justin Benitez</cp:lastModifiedBy>
  <dcterms:created xsi:type="dcterms:W3CDTF">2025-09-23T14:06:05Z</dcterms:created>
  <dcterms:modified xsi:type="dcterms:W3CDTF">2025-11-23T19:14:20Z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e0ce403-2e1c-4c95-96c8-af8d0970dded_Enabled">
    <vt:lpwstr>true</vt:lpwstr>
  </property>
  <property fmtid="{D5CDD505-2E9C-101B-9397-08002B2CF9AE}" pid="3" name="MSIP_Label_9e0ce403-2e1c-4c95-96c8-af8d0970dded_SetDate">
    <vt:lpwstr>2025-09-23T14:18:11Z</vt:lpwstr>
  </property>
  <property fmtid="{D5CDD505-2E9C-101B-9397-08002B2CF9AE}" pid="4" name="MSIP_Label_9e0ce403-2e1c-4c95-96c8-af8d0970dded_Method">
    <vt:lpwstr>Privileged</vt:lpwstr>
  </property>
  <property fmtid="{D5CDD505-2E9C-101B-9397-08002B2CF9AE}" pid="5" name="MSIP_Label_9e0ce403-2e1c-4c95-96c8-af8d0970dded_Name">
    <vt:lpwstr>Public</vt:lpwstr>
  </property>
  <property fmtid="{D5CDD505-2E9C-101B-9397-08002B2CF9AE}" pid="6" name="MSIP_Label_9e0ce403-2e1c-4c95-96c8-af8d0970dded_SiteId">
    <vt:lpwstr>eed99d2e-3551-4ec5-9e90-10a7ff3e13a2</vt:lpwstr>
  </property>
  <property fmtid="{D5CDD505-2E9C-101B-9397-08002B2CF9AE}" pid="7" name="MSIP_Label_9e0ce403-2e1c-4c95-96c8-af8d0970dded_ActionId">
    <vt:lpwstr>5bdf1eed-68e1-4a99-9e82-c4f3b528f83c</vt:lpwstr>
  </property>
  <property fmtid="{D5CDD505-2E9C-101B-9397-08002B2CF9AE}" pid="8" name="MSIP_Label_9e0ce403-2e1c-4c95-96c8-af8d0970dded_ContentBits">
    <vt:lpwstr>0</vt:lpwstr>
  </property>
  <property fmtid="{D5CDD505-2E9C-101B-9397-08002B2CF9AE}" pid="9" name="MSIP_Label_9e0ce403-2e1c-4c95-96c8-af8d0970dded_Tag">
    <vt:lpwstr>50, 0, 1, 1</vt:lpwstr>
  </property>
</Properties>
</file>